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ur\Desktop\Programming\STM32Projects\STM32F4_Libraries\DocsHelp\"/>
    </mc:Choice>
  </mc:AlternateContent>
  <bookViews>
    <workbookView xWindow="0" yWindow="0" windowWidth="16695" windowHeight="397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163" i="1" l="1"/>
  <c r="BG107" i="1"/>
  <c r="CH155" i="1"/>
  <c r="CG155" i="1"/>
  <c r="CF155" i="1"/>
  <c r="CE155" i="1"/>
  <c r="CD155" i="1"/>
  <c r="CC155" i="1"/>
  <c r="CB155" i="1"/>
  <c r="BT155" i="1"/>
  <c r="BS155" i="1"/>
  <c r="BR155" i="1"/>
  <c r="BQ155" i="1"/>
  <c r="BP155" i="1"/>
  <c r="BO155" i="1"/>
  <c r="BN155" i="1"/>
  <c r="CH147" i="1"/>
  <c r="CG147" i="1"/>
  <c r="CF147" i="1"/>
  <c r="CE147" i="1"/>
  <c r="CD147" i="1"/>
  <c r="CC147" i="1"/>
  <c r="CB147" i="1"/>
  <c r="BT147" i="1"/>
  <c r="BS147" i="1"/>
  <c r="BR147" i="1"/>
  <c r="BQ147" i="1"/>
  <c r="BP147" i="1"/>
  <c r="BO147" i="1"/>
  <c r="BN147" i="1"/>
  <c r="CH139" i="1"/>
  <c r="CG139" i="1"/>
  <c r="CF139" i="1"/>
  <c r="CE139" i="1"/>
  <c r="CD139" i="1"/>
  <c r="CC139" i="1"/>
  <c r="CB139" i="1"/>
  <c r="BT139" i="1"/>
  <c r="BS139" i="1"/>
  <c r="BR139" i="1"/>
  <c r="BQ139" i="1"/>
  <c r="BP139" i="1"/>
  <c r="BO139" i="1"/>
  <c r="BN139" i="1"/>
  <c r="CB156" i="1" l="1"/>
  <c r="CB159" i="1" s="1"/>
  <c r="BN156" i="1"/>
  <c r="BN159" i="1" s="1"/>
  <c r="CB148" i="1"/>
  <c r="CB151" i="1" s="1"/>
  <c r="CB140" i="1"/>
  <c r="CB143" i="1" s="1"/>
  <c r="BN148" i="1"/>
  <c r="BN151" i="1" s="1"/>
  <c r="BN140" i="1"/>
  <c r="BN143" i="1" s="1"/>
  <c r="N227" i="1"/>
  <c r="M227" i="1"/>
  <c r="L227" i="1"/>
  <c r="K227" i="1"/>
  <c r="J227" i="1"/>
  <c r="I227" i="1"/>
  <c r="H227" i="1"/>
  <c r="N219" i="1"/>
  <c r="M219" i="1"/>
  <c r="L219" i="1"/>
  <c r="K219" i="1"/>
  <c r="J219" i="1"/>
  <c r="I219" i="1"/>
  <c r="H219" i="1"/>
  <c r="AB219" i="1"/>
  <c r="AA219" i="1"/>
  <c r="Z219" i="1"/>
  <c r="Y219" i="1"/>
  <c r="X219" i="1"/>
  <c r="W219" i="1"/>
  <c r="V219" i="1"/>
  <c r="AB203" i="1"/>
  <c r="AA203" i="1"/>
  <c r="Z203" i="1"/>
  <c r="Y203" i="1"/>
  <c r="X203" i="1"/>
  <c r="W203" i="1"/>
  <c r="V203" i="1"/>
  <c r="N211" i="1"/>
  <c r="M211" i="1"/>
  <c r="L211" i="1"/>
  <c r="K211" i="1"/>
  <c r="J211" i="1"/>
  <c r="I211" i="1"/>
  <c r="H211" i="1"/>
  <c r="AB211" i="1"/>
  <c r="AA211" i="1"/>
  <c r="Z211" i="1"/>
  <c r="Y211" i="1"/>
  <c r="X211" i="1"/>
  <c r="W211" i="1"/>
  <c r="V211" i="1"/>
  <c r="N203" i="1"/>
  <c r="M203" i="1"/>
  <c r="L203" i="1"/>
  <c r="K203" i="1"/>
  <c r="J203" i="1"/>
  <c r="I203" i="1"/>
  <c r="H203" i="1"/>
  <c r="AB195" i="1"/>
  <c r="AA195" i="1"/>
  <c r="Z195" i="1"/>
  <c r="Y195" i="1"/>
  <c r="X195" i="1"/>
  <c r="W195" i="1"/>
  <c r="V195" i="1"/>
  <c r="N195" i="1"/>
  <c r="M195" i="1"/>
  <c r="L195" i="1"/>
  <c r="K195" i="1"/>
  <c r="J195" i="1"/>
  <c r="I195" i="1"/>
  <c r="H195" i="1"/>
  <c r="AB187" i="1"/>
  <c r="AA187" i="1"/>
  <c r="Z187" i="1"/>
  <c r="Y187" i="1"/>
  <c r="X187" i="1"/>
  <c r="W187" i="1"/>
  <c r="V187" i="1"/>
  <c r="N187" i="1"/>
  <c r="M187" i="1"/>
  <c r="L187" i="1"/>
  <c r="K187" i="1"/>
  <c r="J187" i="1"/>
  <c r="I187" i="1"/>
  <c r="H187" i="1"/>
  <c r="N179" i="1"/>
  <c r="M179" i="1"/>
  <c r="L179" i="1"/>
  <c r="K179" i="1"/>
  <c r="J179" i="1"/>
  <c r="I179" i="1"/>
  <c r="H179" i="1"/>
  <c r="AB179" i="1"/>
  <c r="AA179" i="1"/>
  <c r="Z179" i="1"/>
  <c r="Y179" i="1"/>
  <c r="X179" i="1"/>
  <c r="W179" i="1"/>
  <c r="V179" i="1"/>
  <c r="AB171" i="1"/>
  <c r="AA171" i="1"/>
  <c r="Z171" i="1"/>
  <c r="Y171" i="1"/>
  <c r="X171" i="1"/>
  <c r="W171" i="1"/>
  <c r="V171" i="1"/>
  <c r="N171" i="1"/>
  <c r="M171" i="1"/>
  <c r="L171" i="1"/>
  <c r="K171" i="1"/>
  <c r="J171" i="1"/>
  <c r="I171" i="1"/>
  <c r="H171" i="1"/>
  <c r="AB163" i="1"/>
  <c r="AA163" i="1"/>
  <c r="Z163" i="1"/>
  <c r="Y163" i="1"/>
  <c r="X163" i="1"/>
  <c r="W163" i="1"/>
  <c r="V163" i="1"/>
  <c r="N163" i="1"/>
  <c r="M163" i="1"/>
  <c r="L163" i="1"/>
  <c r="K163" i="1"/>
  <c r="J163" i="1"/>
  <c r="I163" i="1"/>
  <c r="H163" i="1"/>
  <c r="BD123" i="1"/>
  <c r="BC123" i="1"/>
  <c r="BB123" i="1"/>
  <c r="BA123" i="1"/>
  <c r="AZ123" i="1"/>
  <c r="AY123" i="1"/>
  <c r="AX123" i="1"/>
  <c r="AP123" i="1"/>
  <c r="AO123" i="1"/>
  <c r="AN123" i="1"/>
  <c r="AM123" i="1"/>
  <c r="AL123" i="1"/>
  <c r="AK123" i="1"/>
  <c r="AJ123" i="1"/>
  <c r="AB123" i="1"/>
  <c r="AA123" i="1"/>
  <c r="Z123" i="1"/>
  <c r="Y123" i="1"/>
  <c r="X123" i="1"/>
  <c r="W123" i="1"/>
  <c r="V123" i="1"/>
  <c r="N123" i="1"/>
  <c r="M123" i="1"/>
  <c r="L123" i="1"/>
  <c r="K123" i="1"/>
  <c r="J123" i="1"/>
  <c r="I123" i="1"/>
  <c r="H123" i="1"/>
  <c r="N115" i="1"/>
  <c r="M115" i="1"/>
  <c r="L115" i="1"/>
  <c r="K115" i="1"/>
  <c r="J115" i="1"/>
  <c r="I115" i="1"/>
  <c r="H115" i="1"/>
  <c r="AB115" i="1"/>
  <c r="AA115" i="1"/>
  <c r="Z115" i="1"/>
  <c r="Y115" i="1"/>
  <c r="X115" i="1"/>
  <c r="W115" i="1"/>
  <c r="V115" i="1"/>
  <c r="AP115" i="1"/>
  <c r="AO115" i="1"/>
  <c r="AN115" i="1"/>
  <c r="AM115" i="1"/>
  <c r="AL115" i="1"/>
  <c r="AK115" i="1"/>
  <c r="AJ115" i="1"/>
  <c r="BD115" i="1"/>
  <c r="BC115" i="1"/>
  <c r="BB115" i="1"/>
  <c r="BA115" i="1"/>
  <c r="AZ115" i="1"/>
  <c r="AY115" i="1"/>
  <c r="AX115" i="1"/>
  <c r="BD107" i="1"/>
  <c r="BC107" i="1"/>
  <c r="BB107" i="1"/>
  <c r="BA107" i="1"/>
  <c r="AZ107" i="1"/>
  <c r="AY107" i="1"/>
  <c r="AX107" i="1"/>
  <c r="AP107" i="1"/>
  <c r="AO107" i="1"/>
  <c r="AN107" i="1"/>
  <c r="AM107" i="1"/>
  <c r="AL107" i="1"/>
  <c r="AK107" i="1"/>
  <c r="AJ107" i="1"/>
  <c r="AB107" i="1"/>
  <c r="AA107" i="1"/>
  <c r="Z107" i="1"/>
  <c r="Y107" i="1"/>
  <c r="X107" i="1"/>
  <c r="W107" i="1"/>
  <c r="V107" i="1"/>
  <c r="N107" i="1"/>
  <c r="M107" i="1"/>
  <c r="L107" i="1"/>
  <c r="K107" i="1"/>
  <c r="J107" i="1"/>
  <c r="I107" i="1"/>
  <c r="H107" i="1"/>
  <c r="N99" i="1"/>
  <c r="M99" i="1"/>
  <c r="L99" i="1"/>
  <c r="K99" i="1"/>
  <c r="J99" i="1"/>
  <c r="I99" i="1"/>
  <c r="H99" i="1"/>
  <c r="AB99" i="1"/>
  <c r="AA99" i="1"/>
  <c r="Z99" i="1"/>
  <c r="Y99" i="1"/>
  <c r="X99" i="1"/>
  <c r="W99" i="1"/>
  <c r="V99" i="1"/>
  <c r="AP99" i="1"/>
  <c r="AO99" i="1"/>
  <c r="AN99" i="1"/>
  <c r="AM99" i="1"/>
  <c r="AL99" i="1"/>
  <c r="AK99" i="1"/>
  <c r="AJ99" i="1"/>
  <c r="BD99" i="1"/>
  <c r="BC99" i="1"/>
  <c r="BB99" i="1"/>
  <c r="BA99" i="1"/>
  <c r="AZ99" i="1"/>
  <c r="AY99" i="1"/>
  <c r="AX99" i="1"/>
  <c r="CH99" i="1"/>
  <c r="CG99" i="1"/>
  <c r="CF99" i="1"/>
  <c r="CE99" i="1"/>
  <c r="CD99" i="1"/>
  <c r="CC99" i="1"/>
  <c r="CB99" i="1"/>
  <c r="BT99" i="1"/>
  <c r="BS99" i="1"/>
  <c r="BR99" i="1"/>
  <c r="BQ99" i="1"/>
  <c r="BP99" i="1"/>
  <c r="BO99" i="1"/>
  <c r="BN99" i="1"/>
  <c r="BT91" i="1"/>
  <c r="BS91" i="1"/>
  <c r="BR91" i="1"/>
  <c r="BQ91" i="1"/>
  <c r="BP91" i="1"/>
  <c r="BO91" i="1"/>
  <c r="BN91" i="1"/>
  <c r="CH91" i="1"/>
  <c r="CG91" i="1"/>
  <c r="CF91" i="1"/>
  <c r="CE91" i="1"/>
  <c r="CD91" i="1"/>
  <c r="CC91" i="1"/>
  <c r="CB91" i="1"/>
  <c r="CH83" i="1"/>
  <c r="CG83" i="1"/>
  <c r="CF83" i="1"/>
  <c r="CE83" i="1"/>
  <c r="CD83" i="1"/>
  <c r="CC83" i="1"/>
  <c r="CB83" i="1"/>
  <c r="BT83" i="1"/>
  <c r="BS83" i="1"/>
  <c r="BR83" i="1"/>
  <c r="BQ83" i="1"/>
  <c r="BP83" i="1"/>
  <c r="BO83" i="1"/>
  <c r="BN83" i="1"/>
  <c r="BT75" i="1"/>
  <c r="BS75" i="1"/>
  <c r="BR75" i="1"/>
  <c r="BQ75" i="1"/>
  <c r="BP75" i="1"/>
  <c r="BO75" i="1"/>
  <c r="BN75" i="1"/>
  <c r="CH75" i="1"/>
  <c r="CG75" i="1"/>
  <c r="CF75" i="1"/>
  <c r="CE75" i="1"/>
  <c r="CD75" i="1"/>
  <c r="CC75" i="1"/>
  <c r="CB75" i="1"/>
  <c r="CH67" i="1"/>
  <c r="CG67" i="1"/>
  <c r="CF67" i="1"/>
  <c r="CE67" i="1"/>
  <c r="CD67" i="1"/>
  <c r="CC67" i="1"/>
  <c r="CB67" i="1"/>
  <c r="BT67" i="1"/>
  <c r="BS67" i="1"/>
  <c r="BR67" i="1"/>
  <c r="BQ67" i="1"/>
  <c r="BP67" i="1"/>
  <c r="BO67" i="1"/>
  <c r="BN67" i="1"/>
  <c r="AB67" i="1"/>
  <c r="AA67" i="1"/>
  <c r="Z67" i="1"/>
  <c r="Y67" i="1"/>
  <c r="X67" i="1"/>
  <c r="W67" i="1"/>
  <c r="V67" i="1"/>
  <c r="N67" i="1"/>
  <c r="M67" i="1"/>
  <c r="L67" i="1"/>
  <c r="K67" i="1"/>
  <c r="J67" i="1"/>
  <c r="I67" i="1"/>
  <c r="H67" i="1"/>
  <c r="N59" i="1"/>
  <c r="M59" i="1"/>
  <c r="L59" i="1"/>
  <c r="K59" i="1"/>
  <c r="J59" i="1"/>
  <c r="I59" i="1"/>
  <c r="H59" i="1"/>
  <c r="AB59" i="1"/>
  <c r="AA59" i="1"/>
  <c r="Z59" i="1"/>
  <c r="Y59" i="1"/>
  <c r="X59" i="1"/>
  <c r="W59" i="1"/>
  <c r="V59" i="1"/>
  <c r="AP59" i="1"/>
  <c r="AO59" i="1"/>
  <c r="AN59" i="1"/>
  <c r="AM59" i="1"/>
  <c r="AL59" i="1"/>
  <c r="AK59" i="1"/>
  <c r="AJ59" i="1"/>
  <c r="BD59" i="1"/>
  <c r="BC59" i="1"/>
  <c r="BB59" i="1"/>
  <c r="BA59" i="1"/>
  <c r="AZ59" i="1"/>
  <c r="AY59" i="1"/>
  <c r="AX59" i="1"/>
  <c r="BT59" i="1"/>
  <c r="BS59" i="1"/>
  <c r="BR59" i="1"/>
  <c r="BQ59" i="1"/>
  <c r="BP59" i="1"/>
  <c r="BO59" i="1"/>
  <c r="BN59" i="1"/>
  <c r="CH59" i="1"/>
  <c r="CG59" i="1"/>
  <c r="CF59" i="1"/>
  <c r="CE59" i="1"/>
  <c r="CD59" i="1"/>
  <c r="CC59" i="1"/>
  <c r="CB59" i="1"/>
  <c r="CH51" i="1"/>
  <c r="CG51" i="1"/>
  <c r="CF51" i="1"/>
  <c r="CE51" i="1"/>
  <c r="CD51" i="1"/>
  <c r="CC51" i="1"/>
  <c r="CB51" i="1"/>
  <c r="BT51" i="1"/>
  <c r="BS51" i="1"/>
  <c r="BR51" i="1"/>
  <c r="BQ51" i="1"/>
  <c r="BP51" i="1"/>
  <c r="BO51" i="1"/>
  <c r="BN51" i="1"/>
  <c r="BD51" i="1"/>
  <c r="BC51" i="1"/>
  <c r="BB51" i="1"/>
  <c r="BA51" i="1"/>
  <c r="AZ51" i="1"/>
  <c r="AY51" i="1"/>
  <c r="AX51" i="1"/>
  <c r="AP51" i="1"/>
  <c r="AO51" i="1"/>
  <c r="AN51" i="1"/>
  <c r="AM51" i="1"/>
  <c r="AL51" i="1"/>
  <c r="AK51" i="1"/>
  <c r="AJ51" i="1"/>
  <c r="AB51" i="1"/>
  <c r="AA51" i="1"/>
  <c r="Z51" i="1"/>
  <c r="Y51" i="1"/>
  <c r="X51" i="1"/>
  <c r="W51" i="1"/>
  <c r="V51" i="1"/>
  <c r="N51" i="1"/>
  <c r="M51" i="1"/>
  <c r="L51" i="1"/>
  <c r="K51" i="1"/>
  <c r="J51" i="1"/>
  <c r="I51" i="1"/>
  <c r="H51" i="1"/>
  <c r="CH43" i="1"/>
  <c r="CG43" i="1"/>
  <c r="CF43" i="1"/>
  <c r="CE43" i="1"/>
  <c r="CD43" i="1"/>
  <c r="CC43" i="1"/>
  <c r="CB43" i="1"/>
  <c r="BT43" i="1"/>
  <c r="BS43" i="1"/>
  <c r="BR43" i="1"/>
  <c r="BQ43" i="1"/>
  <c r="BP43" i="1"/>
  <c r="BO43" i="1"/>
  <c r="BN43" i="1"/>
  <c r="BD43" i="1"/>
  <c r="BC43" i="1"/>
  <c r="BB43" i="1"/>
  <c r="BA43" i="1"/>
  <c r="AZ43" i="1"/>
  <c r="AY43" i="1"/>
  <c r="AX43" i="1"/>
  <c r="AP43" i="1"/>
  <c r="AO43" i="1"/>
  <c r="AN43" i="1"/>
  <c r="AM43" i="1"/>
  <c r="AL43" i="1"/>
  <c r="AK43" i="1"/>
  <c r="AJ43" i="1"/>
  <c r="AB43" i="1"/>
  <c r="AA43" i="1"/>
  <c r="Z43" i="1"/>
  <c r="Y43" i="1"/>
  <c r="X43" i="1"/>
  <c r="W43" i="1"/>
  <c r="V43" i="1"/>
  <c r="N43" i="1"/>
  <c r="M43" i="1"/>
  <c r="L43" i="1"/>
  <c r="K43" i="1"/>
  <c r="J43" i="1"/>
  <c r="I43" i="1"/>
  <c r="H43" i="1"/>
  <c r="CH35" i="1"/>
  <c r="CG35" i="1"/>
  <c r="CF35" i="1"/>
  <c r="CE35" i="1"/>
  <c r="CD35" i="1"/>
  <c r="CC35" i="1"/>
  <c r="CB35" i="1"/>
  <c r="BT35" i="1"/>
  <c r="BS35" i="1"/>
  <c r="BR35" i="1"/>
  <c r="BQ35" i="1"/>
  <c r="BP35" i="1"/>
  <c r="BO35" i="1"/>
  <c r="BN35" i="1"/>
  <c r="BD35" i="1"/>
  <c r="BC35" i="1"/>
  <c r="BB35" i="1"/>
  <c r="BA35" i="1"/>
  <c r="AZ35" i="1"/>
  <c r="AY35" i="1"/>
  <c r="AX35" i="1"/>
  <c r="AP35" i="1"/>
  <c r="AO35" i="1"/>
  <c r="AN35" i="1"/>
  <c r="AM35" i="1"/>
  <c r="AL35" i="1"/>
  <c r="AK35" i="1"/>
  <c r="AJ35" i="1"/>
  <c r="AB35" i="1"/>
  <c r="AA35" i="1"/>
  <c r="Z35" i="1"/>
  <c r="Y35" i="1"/>
  <c r="X35" i="1"/>
  <c r="W35" i="1"/>
  <c r="V35" i="1"/>
  <c r="N35" i="1"/>
  <c r="M35" i="1"/>
  <c r="L35" i="1"/>
  <c r="K35" i="1"/>
  <c r="J35" i="1"/>
  <c r="I35" i="1"/>
  <c r="H35" i="1"/>
  <c r="CH27" i="1"/>
  <c r="CG27" i="1"/>
  <c r="CF27" i="1"/>
  <c r="CE27" i="1"/>
  <c r="CD27" i="1"/>
  <c r="CC27" i="1"/>
  <c r="CB27" i="1"/>
  <c r="BT27" i="1"/>
  <c r="BS27" i="1"/>
  <c r="BR27" i="1"/>
  <c r="BQ27" i="1"/>
  <c r="BP27" i="1"/>
  <c r="BO27" i="1"/>
  <c r="BN27" i="1"/>
  <c r="BD27" i="1"/>
  <c r="BC27" i="1"/>
  <c r="BB27" i="1"/>
  <c r="BA27" i="1"/>
  <c r="AZ27" i="1"/>
  <c r="AY27" i="1"/>
  <c r="AX27" i="1"/>
  <c r="AP27" i="1"/>
  <c r="AO27" i="1"/>
  <c r="AN27" i="1"/>
  <c r="AM27" i="1"/>
  <c r="AL27" i="1"/>
  <c r="AK27" i="1"/>
  <c r="AJ27" i="1"/>
  <c r="AB27" i="1"/>
  <c r="AA27" i="1"/>
  <c r="Z27" i="1"/>
  <c r="Y27" i="1"/>
  <c r="X27" i="1"/>
  <c r="W27" i="1"/>
  <c r="V27" i="1"/>
  <c r="N27" i="1"/>
  <c r="M27" i="1"/>
  <c r="L27" i="1"/>
  <c r="K27" i="1"/>
  <c r="J27" i="1"/>
  <c r="I27" i="1"/>
  <c r="H27" i="1"/>
  <c r="CH19" i="1"/>
  <c r="CG19" i="1"/>
  <c r="CF19" i="1"/>
  <c r="CE19" i="1"/>
  <c r="CD19" i="1"/>
  <c r="CC19" i="1"/>
  <c r="CB19" i="1"/>
  <c r="BT19" i="1"/>
  <c r="BS19" i="1"/>
  <c r="BR19" i="1"/>
  <c r="BQ19" i="1"/>
  <c r="BP19" i="1"/>
  <c r="BO19" i="1"/>
  <c r="BN19" i="1"/>
  <c r="BD19" i="1"/>
  <c r="BC19" i="1"/>
  <c r="BB19" i="1"/>
  <c r="BA19" i="1"/>
  <c r="AZ19" i="1"/>
  <c r="AY19" i="1"/>
  <c r="AX19" i="1"/>
  <c r="AP19" i="1"/>
  <c r="AO19" i="1"/>
  <c r="AN19" i="1"/>
  <c r="AM19" i="1"/>
  <c r="AL19" i="1"/>
  <c r="AK19" i="1"/>
  <c r="AJ19" i="1"/>
  <c r="AB19" i="1"/>
  <c r="AA19" i="1"/>
  <c r="Z19" i="1"/>
  <c r="Y19" i="1"/>
  <c r="X19" i="1"/>
  <c r="W19" i="1"/>
  <c r="V19" i="1"/>
  <c r="N19" i="1"/>
  <c r="M19" i="1"/>
  <c r="L19" i="1"/>
  <c r="K19" i="1"/>
  <c r="J19" i="1"/>
  <c r="I19" i="1"/>
  <c r="H19" i="1"/>
  <c r="I11" i="1"/>
  <c r="CH11" i="1"/>
  <c r="CG11" i="1"/>
  <c r="CF11" i="1"/>
  <c r="CE11" i="1"/>
  <c r="CD11" i="1"/>
  <c r="CC11" i="1"/>
  <c r="CB11" i="1"/>
  <c r="BT11" i="1"/>
  <c r="BS11" i="1"/>
  <c r="BR11" i="1"/>
  <c r="BQ11" i="1"/>
  <c r="BP11" i="1"/>
  <c r="BO11" i="1"/>
  <c r="BN11" i="1"/>
  <c r="BD11" i="1"/>
  <c r="BC11" i="1"/>
  <c r="BB11" i="1"/>
  <c r="BA11" i="1"/>
  <c r="AZ11" i="1"/>
  <c r="AY11" i="1"/>
  <c r="AX11" i="1"/>
  <c r="AP11" i="1"/>
  <c r="AO11" i="1"/>
  <c r="AN11" i="1"/>
  <c r="AM11" i="1"/>
  <c r="AL11" i="1"/>
  <c r="AK11" i="1"/>
  <c r="AJ11" i="1"/>
  <c r="AB11" i="1"/>
  <c r="AA11" i="1"/>
  <c r="Z11" i="1"/>
  <c r="Y11" i="1"/>
  <c r="X11" i="1"/>
  <c r="W11" i="1"/>
  <c r="V11" i="1"/>
  <c r="N11" i="1"/>
  <c r="M11" i="1"/>
  <c r="L11" i="1"/>
  <c r="K11" i="1"/>
  <c r="J11" i="1"/>
  <c r="H11" i="1"/>
  <c r="CH3" i="1"/>
  <c r="CG3" i="1"/>
  <c r="CF3" i="1"/>
  <c r="CE3" i="1"/>
  <c r="CD3" i="1"/>
  <c r="CC3" i="1"/>
  <c r="CB3" i="1"/>
  <c r="BT3" i="1"/>
  <c r="BS3" i="1"/>
  <c r="BR3" i="1"/>
  <c r="BQ3" i="1"/>
  <c r="BP3" i="1"/>
  <c r="BO3" i="1"/>
  <c r="BN3" i="1"/>
  <c r="BD3" i="1"/>
  <c r="BC3" i="1"/>
  <c r="BB3" i="1"/>
  <c r="BA3" i="1"/>
  <c r="AZ3" i="1"/>
  <c r="AY3" i="1"/>
  <c r="AX3" i="1"/>
  <c r="AP3" i="1"/>
  <c r="AO3" i="1"/>
  <c r="AN3" i="1"/>
  <c r="AM3" i="1"/>
  <c r="AL3" i="1"/>
  <c r="AK3" i="1"/>
  <c r="AJ3" i="1"/>
  <c r="AB3" i="1"/>
  <c r="AA3" i="1"/>
  <c r="Z3" i="1"/>
  <c r="Y3" i="1"/>
  <c r="X3" i="1"/>
  <c r="W3" i="1"/>
  <c r="V3" i="1"/>
  <c r="I3" i="1"/>
  <c r="J3" i="1"/>
  <c r="K3" i="1"/>
  <c r="L3" i="1"/>
  <c r="M3" i="1"/>
  <c r="N3" i="1"/>
  <c r="H3" i="1"/>
  <c r="H228" i="1" l="1"/>
  <c r="H231" i="1" s="1"/>
  <c r="AJ116" i="1"/>
  <c r="AJ119" i="1" s="1"/>
  <c r="AX116" i="1"/>
  <c r="AX119" i="1" s="1"/>
  <c r="H124" i="1"/>
  <c r="H127" i="1" s="1"/>
  <c r="H220" i="1"/>
  <c r="H223" i="1" s="1"/>
  <c r="V116" i="1"/>
  <c r="V119" i="1" s="1"/>
  <c r="V212" i="1"/>
  <c r="V215" i="1" s="1"/>
  <c r="AJ108" i="1"/>
  <c r="AJ111" i="1" s="1"/>
  <c r="H116" i="1"/>
  <c r="H119" i="1" s="1"/>
  <c r="V108" i="1"/>
  <c r="V111" i="1" s="1"/>
  <c r="AX12" i="1"/>
  <c r="AX15" i="1" s="1"/>
  <c r="V164" i="1"/>
  <c r="V167" i="1" s="1"/>
  <c r="H172" i="1"/>
  <c r="H175" i="1" s="1"/>
  <c r="CB100" i="1"/>
  <c r="CB103" i="1" s="1"/>
  <c r="V124" i="1"/>
  <c r="V127" i="1" s="1"/>
  <c r="AJ124" i="1"/>
  <c r="AJ127" i="1" s="1"/>
  <c r="AX124" i="1"/>
  <c r="AX127" i="1" s="1"/>
  <c r="H164" i="1"/>
  <c r="H167" i="1" s="1"/>
  <c r="V220" i="1"/>
  <c r="V223" i="1" s="1"/>
  <c r="BN12" i="1"/>
  <c r="BN15" i="1" s="1"/>
  <c r="CB12" i="1"/>
  <c r="CB15" i="1" s="1"/>
  <c r="BN20" i="1"/>
  <c r="BN23" i="1" s="1"/>
  <c r="CB20" i="1"/>
  <c r="CB23" i="1" s="1"/>
  <c r="BN28" i="1"/>
  <c r="BN31" i="1" s="1"/>
  <c r="CB28" i="1"/>
  <c r="CB31" i="1" s="1"/>
  <c r="BN36" i="1"/>
  <c r="BN39" i="1" s="1"/>
  <c r="CB36" i="1"/>
  <c r="CB39" i="1" s="1"/>
  <c r="BN44" i="1"/>
  <c r="BN47" i="1" s="1"/>
  <c r="CB44" i="1"/>
  <c r="CB47" i="1" s="1"/>
  <c r="BN52" i="1"/>
  <c r="BN55" i="1" s="1"/>
  <c r="CB52" i="1"/>
  <c r="CB55" i="1" s="1"/>
  <c r="BN60" i="1"/>
  <c r="BN63" i="1" s="1"/>
  <c r="CB60" i="1"/>
  <c r="CB63" i="1" s="1"/>
  <c r="BN68" i="1"/>
  <c r="BN71" i="1" s="1"/>
  <c r="CB68" i="1"/>
  <c r="CB71" i="1" s="1"/>
  <c r="BN76" i="1"/>
  <c r="BN79" i="1" s="1"/>
  <c r="CB76" i="1"/>
  <c r="CB79" i="1" s="1"/>
  <c r="BN84" i="1"/>
  <c r="BN87" i="1" s="1"/>
  <c r="CB84" i="1"/>
  <c r="CB87" i="1" s="1"/>
  <c r="BN92" i="1"/>
  <c r="BN95" i="1" s="1"/>
  <c r="CB92" i="1"/>
  <c r="CB95" i="1" s="1"/>
  <c r="BN100" i="1"/>
  <c r="BN103" i="1" s="1"/>
  <c r="CB4" i="1"/>
  <c r="CB7" i="1" s="1"/>
  <c r="AX108" i="1"/>
  <c r="AX111" i="1" s="1"/>
  <c r="V204" i="1"/>
  <c r="V207" i="1" s="1"/>
  <c r="H212" i="1"/>
  <c r="H215" i="1" s="1"/>
  <c r="AJ100" i="1"/>
  <c r="AJ103" i="1" s="1"/>
  <c r="H108" i="1"/>
  <c r="H111" i="1" s="1"/>
  <c r="V196" i="1"/>
  <c r="V199" i="1" s="1"/>
  <c r="H204" i="1"/>
  <c r="H207" i="1" s="1"/>
  <c r="AX100" i="1"/>
  <c r="AX103" i="1" s="1"/>
  <c r="V188" i="1"/>
  <c r="V191" i="1" s="1"/>
  <c r="H196" i="1"/>
  <c r="H199" i="1" s="1"/>
  <c r="V180" i="1"/>
  <c r="V183" i="1" s="1"/>
  <c r="H188" i="1"/>
  <c r="H191" i="1" s="1"/>
  <c r="BN4" i="1"/>
  <c r="BN7" i="1" s="1"/>
  <c r="V172" i="1"/>
  <c r="V175" i="1" s="1"/>
  <c r="H180" i="1"/>
  <c r="H183" i="1" s="1"/>
  <c r="AJ28" i="1" l="1"/>
  <c r="AJ31" i="1" s="1"/>
  <c r="AX28" i="1"/>
  <c r="AX31" i="1" s="1"/>
  <c r="H36" i="1"/>
  <c r="H39" i="1" s="1"/>
  <c r="V28" i="1"/>
  <c r="V31" i="1" s="1"/>
  <c r="AJ20" i="1"/>
  <c r="AJ23" i="1" s="1"/>
  <c r="AX20" i="1"/>
  <c r="AX23" i="1" s="1"/>
  <c r="H28" i="1"/>
  <c r="H31" i="1" s="1"/>
  <c r="V20" i="1"/>
  <c r="V23" i="1" s="1"/>
  <c r="H4" i="1"/>
  <c r="H7" i="1" s="1"/>
  <c r="V52" i="1"/>
  <c r="V55" i="1" s="1"/>
  <c r="V36" i="1"/>
  <c r="V39" i="1" s="1"/>
  <c r="AJ36" i="1"/>
  <c r="AJ39" i="1" s="1"/>
  <c r="AX36" i="1"/>
  <c r="AX39" i="1" s="1"/>
  <c r="AJ44" i="1"/>
  <c r="AJ47" i="1" s="1"/>
  <c r="AX44" i="1"/>
  <c r="AX47" i="1" s="1"/>
  <c r="H52" i="1"/>
  <c r="H55" i="1" s="1"/>
  <c r="V12" i="1"/>
  <c r="V15" i="1" s="1"/>
  <c r="AJ12" i="1"/>
  <c r="AJ15" i="1" s="1"/>
  <c r="H20" i="1"/>
  <c r="H23" i="1" s="1"/>
  <c r="V100" i="1"/>
  <c r="V103" i="1" s="1"/>
  <c r="AJ4" i="1"/>
  <c r="AJ7" i="1" s="1"/>
  <c r="AX4" i="1"/>
  <c r="AX7" i="1" s="1"/>
  <c r="H12" i="1"/>
  <c r="H15" i="1" s="1"/>
  <c r="V68" i="1"/>
  <c r="V71" i="1" s="1"/>
  <c r="V44" i="1"/>
  <c r="V47" i="1" s="1"/>
  <c r="H100" i="1"/>
  <c r="H103" i="1" s="1"/>
  <c r="V60" i="1"/>
  <c r="V63" i="1" s="1"/>
  <c r="AJ60" i="1"/>
  <c r="AJ63" i="1" s="1"/>
  <c r="AX60" i="1"/>
  <c r="AX63" i="1" s="1"/>
  <c r="H68" i="1"/>
  <c r="H71" i="1" s="1"/>
  <c r="V4" i="1"/>
  <c r="V7" i="1" s="1"/>
  <c r="H44" i="1"/>
  <c r="H47" i="1" s="1"/>
  <c r="AJ52" i="1"/>
  <c r="AJ55" i="1" s="1"/>
  <c r="AX52" i="1"/>
  <c r="AX55" i="1" s="1"/>
  <c r="H60" i="1"/>
  <c r="H63" i="1" s="1"/>
  <c r="AC163" i="1"/>
  <c r="AC203" i="1"/>
  <c r="AC131" i="1" l="1"/>
  <c r="AC67" i="1"/>
</calcChain>
</file>

<file path=xl/sharedStrings.xml><?xml version="1.0" encoding="utf-8"?>
<sst xmlns="http://schemas.openxmlformats.org/spreadsheetml/2006/main" count="248" uniqueCount="87">
  <si>
    <t>UTF-8</t>
  </si>
  <si>
    <t>Р</t>
  </si>
  <si>
    <t>С</t>
  </si>
  <si>
    <t>В</t>
  </si>
  <si>
    <t>Г</t>
  </si>
  <si>
    <t>Д</t>
  </si>
  <si>
    <t>Е</t>
  </si>
  <si>
    <t>Б</t>
  </si>
  <si>
    <t>А</t>
  </si>
  <si>
    <t>Ж</t>
  </si>
  <si>
    <t>З</t>
  </si>
  <si>
    <t>И</t>
  </si>
  <si>
    <t>К</t>
  </si>
  <si>
    <t>Л</t>
  </si>
  <si>
    <t>М</t>
  </si>
  <si>
    <t>Н</t>
  </si>
  <si>
    <t>О</t>
  </si>
  <si>
    <t>П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</si>
  <si>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</si>
  <si>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</si>
  <si>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</si>
  <si>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</si>
  <si>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</si>
  <si>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</si>
  <si>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</si>
  <si>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</si>
  <si>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</si>
  <si>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</si>
  <si>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</si>
  <si>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</si>
  <si>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</si>
  <si>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</si>
  <si>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Й</t>
  </si>
  <si>
    <t>!</t>
  </si>
  <si>
    <t>"</t>
  </si>
  <si>
    <t>#</t>
  </si>
  <si>
    <t>$</t>
  </si>
  <si>
    <t>%</t>
  </si>
  <si>
    <t>&amp;</t>
  </si>
  <si>
    <t>`</t>
  </si>
  <si>
    <t xml:space="preserve"> /</t>
  </si>
  <si>
    <t>.</t>
  </si>
  <si>
    <t>,</t>
  </si>
  <si>
    <t>+</t>
  </si>
  <si>
    <t>-</t>
  </si>
  <si>
    <t>*</t>
  </si>
  <si>
    <t>)</t>
  </si>
  <si>
    <t>(</t>
  </si>
  <si>
    <t>Прописная</t>
  </si>
  <si>
    <t>&gt;</t>
  </si>
  <si>
    <t>;</t>
  </si>
  <si>
    <t>:</t>
  </si>
  <si>
    <t>=</t>
  </si>
  <si>
    <t>?</t>
  </si>
  <si>
    <t>D</t>
  </si>
  <si>
    <t>C</t>
  </si>
  <si>
    <t>A</t>
  </si>
  <si>
    <t>B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</si>
  <si>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</si>
  <si>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</si>
  <si>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</si>
  <si>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</si>
  <si>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</si>
  <si>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</si>
  <si>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</si>
  <si>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</si>
  <si>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</si>
  <si>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</si>
  <si>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</si>
  <si>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</si>
  <si>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</si>
  <si>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</si>
  <si>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</si>
  <si>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</si>
  <si>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</si>
  <si>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</si>
  <si>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</si>
  <si>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</si>
  <si>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</si>
  <si>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</si>
  <si>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@</t>
  </si>
  <si>
    <t>Размер шрифта</t>
  </si>
  <si>
    <t>[</t>
  </si>
  <si>
    <t>\</t>
  </si>
  <si>
    <t>]</t>
  </si>
  <si>
    <t>^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</si>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</sst>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5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/>
    <xf numFmtId="0" fontId="0" fillId="0" borderId="0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quotePrefix="1" applyFont="1" applyBorder="1" applyAlignment="1">
      <alignment horizontal="center"/>
    </xf>
  </cellXfs>
  <cellStyles count="1">
    <cellStyle name="Обычный" xfId="0" builtinId="0"/>
  </cellStyles>
  <dxfs count="209"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33"/>
  <sheetViews>
    <sheetView tabSelected="1" topLeftCell="M115" zoomScale="85" zoomScaleNormal="85" workbookViewId="0">
      <selection activeCell="AU128" sqref="AU128"/>
    </sheetView>
  </sheetViews>
  <sheetFormatPr defaultColWidth="2.85546875" defaultRowHeight="15" x14ac:dyDescent="0.25"/>
  <cols>
    <col min="1" max="1" width="2.85546875" style="4"/>
    <col min="2" max="2" width="2.28515625" style="4" customWidth="1"/>
    <col min="3" max="7" width="2.85546875" style="4"/>
    <col min="8" max="13" width="2.85546875" style="3"/>
    <col min="14" max="14" width="4.140625" style="3" bestFit="1" customWidth="1"/>
    <col min="15" max="21" width="2.85546875" style="4"/>
    <col min="22" max="27" width="2.85546875" style="3"/>
    <col min="28" max="28" width="4.140625" style="3" bestFit="1" customWidth="1"/>
    <col min="42" max="42" width="4.140625" bestFit="1" customWidth="1"/>
    <col min="56" max="56" width="4.140625" bestFit="1" customWidth="1"/>
    <col min="57" max="58" width="2.85546875" style="20"/>
    <col min="72" max="72" width="4.140625" bestFit="1" customWidth="1"/>
    <col min="86" max="86" width="4.140625" bestFit="1" customWidth="1"/>
  </cols>
  <sheetData>
    <row r="1" spans="1:86" x14ac:dyDescent="0.25">
      <c r="A1" s="41" t="s">
        <v>81</v>
      </c>
      <c r="B1" s="42"/>
      <c r="C1" s="42"/>
      <c r="D1" s="42"/>
      <c r="E1" s="42"/>
      <c r="F1" s="42"/>
      <c r="G1" s="43"/>
      <c r="H1" s="3">
        <v>7</v>
      </c>
    </row>
    <row r="2" spans="1:86" s="7" customFormat="1" x14ac:dyDescent="0.25">
      <c r="A2" s="8">
        <v>1</v>
      </c>
      <c r="B2" s="8">
        <v>2</v>
      </c>
      <c r="C2" s="8">
        <v>3</v>
      </c>
      <c r="D2" s="8">
        <v>4</v>
      </c>
      <c r="E2" s="8">
        <v>5</v>
      </c>
      <c r="F2" s="8">
        <v>6</v>
      </c>
      <c r="G2" s="8">
        <v>7</v>
      </c>
      <c r="H2" s="39" t="s">
        <v>0</v>
      </c>
      <c r="I2" s="39"/>
      <c r="J2" s="39"/>
      <c r="K2" s="39"/>
      <c r="L2" s="40"/>
      <c r="M2" s="40"/>
      <c r="N2" s="40"/>
      <c r="O2" s="8">
        <v>1</v>
      </c>
      <c r="P2" s="8">
        <v>2</v>
      </c>
      <c r="Q2" s="8">
        <v>3</v>
      </c>
      <c r="R2" s="8">
        <v>4</v>
      </c>
      <c r="S2" s="8">
        <v>5</v>
      </c>
      <c r="T2" s="8">
        <v>6</v>
      </c>
      <c r="U2" s="8">
        <v>7</v>
      </c>
      <c r="V2" s="39" t="s">
        <v>0</v>
      </c>
      <c r="W2" s="39"/>
      <c r="X2" s="39"/>
      <c r="Y2" s="39"/>
      <c r="Z2" s="40"/>
      <c r="AA2" s="40"/>
      <c r="AB2" s="40"/>
      <c r="AC2" s="9">
        <v>1</v>
      </c>
      <c r="AD2" s="9">
        <v>2</v>
      </c>
      <c r="AE2" s="9">
        <v>3</v>
      </c>
      <c r="AF2" s="9">
        <v>4</v>
      </c>
      <c r="AG2" s="9">
        <v>5</v>
      </c>
      <c r="AH2" s="9">
        <v>6</v>
      </c>
      <c r="AI2" s="9">
        <v>7</v>
      </c>
      <c r="AJ2" s="39" t="s">
        <v>0</v>
      </c>
      <c r="AK2" s="39"/>
      <c r="AL2" s="39"/>
      <c r="AM2" s="39"/>
      <c r="AN2" s="40">
        <v>208</v>
      </c>
      <c r="AO2" s="40"/>
      <c r="AP2" s="15">
        <v>144</v>
      </c>
      <c r="AQ2" s="9">
        <v>1</v>
      </c>
      <c r="AR2" s="9">
        <v>2</v>
      </c>
      <c r="AS2" s="9">
        <v>3</v>
      </c>
      <c r="AT2" s="9">
        <v>4</v>
      </c>
      <c r="AU2" s="9">
        <v>5</v>
      </c>
      <c r="AV2" s="9">
        <v>6</v>
      </c>
      <c r="AW2" s="9">
        <v>7</v>
      </c>
      <c r="AX2" s="39" t="s">
        <v>0</v>
      </c>
      <c r="AY2" s="39"/>
      <c r="AZ2" s="39"/>
      <c r="BA2" s="39"/>
      <c r="BB2" s="40">
        <v>208</v>
      </c>
      <c r="BC2" s="40"/>
      <c r="BD2" s="15">
        <v>145</v>
      </c>
      <c r="BE2" s="20"/>
      <c r="BF2" s="20"/>
      <c r="BG2" s="22">
        <v>1</v>
      </c>
      <c r="BH2" s="9">
        <v>2</v>
      </c>
      <c r="BI2" s="9">
        <v>3</v>
      </c>
      <c r="BJ2" s="9">
        <v>4</v>
      </c>
      <c r="BK2" s="9">
        <v>5</v>
      </c>
      <c r="BL2" s="9">
        <v>6</v>
      </c>
      <c r="BM2" s="9">
        <v>7</v>
      </c>
      <c r="BN2" s="39" t="s">
        <v>0</v>
      </c>
      <c r="BO2" s="39"/>
      <c r="BP2" s="39"/>
      <c r="BQ2" s="39"/>
      <c r="BR2" s="40">
        <v>0</v>
      </c>
      <c r="BS2" s="40"/>
      <c r="BT2" s="15">
        <v>65</v>
      </c>
      <c r="BU2" s="9">
        <v>1</v>
      </c>
      <c r="BV2" s="9">
        <v>2</v>
      </c>
      <c r="BW2" s="9">
        <v>3</v>
      </c>
      <c r="BX2" s="9">
        <v>4</v>
      </c>
      <c r="BY2" s="9">
        <v>5</v>
      </c>
      <c r="BZ2" s="9">
        <v>6</v>
      </c>
      <c r="CA2" s="9">
        <v>7</v>
      </c>
      <c r="CB2" s="39" t="s">
        <v>0</v>
      </c>
      <c r="CC2" s="39"/>
      <c r="CD2" s="39"/>
      <c r="CE2" s="39"/>
      <c r="CF2" s="40">
        <v>0</v>
      </c>
      <c r="CG2" s="40"/>
      <c r="CH2" s="15">
        <v>66</v>
      </c>
    </row>
    <row r="3" spans="1:86" x14ac:dyDescent="0.25">
      <c r="A3" s="10">
        <v>0</v>
      </c>
      <c r="B3" s="10">
        <v>1</v>
      </c>
      <c r="C3" s="10">
        <v>1</v>
      </c>
      <c r="D3" s="10">
        <v>0</v>
      </c>
      <c r="E3" s="10">
        <v>1</v>
      </c>
      <c r="F3" s="10">
        <v>1</v>
      </c>
      <c r="G3" s="10">
        <v>0</v>
      </c>
      <c r="H3" s="11" t="str">
        <f>BIN2HEX(A9&amp;A8&amp;A7&amp;A6&amp;A5&amp;A4&amp;A3)</f>
        <v>E</v>
      </c>
      <c r="I3" s="11" t="str">
        <f t="shared" ref="I3:N3" si="0">BIN2HEX(B9&amp;B8&amp;B7&amp;B6&amp;B5&amp;B4&amp;B3)</f>
        <v>1F</v>
      </c>
      <c r="J3" s="11" t="str">
        <f t="shared" si="0"/>
        <v>3F</v>
      </c>
      <c r="K3" s="11" t="str">
        <f t="shared" si="0"/>
        <v>7E</v>
      </c>
      <c r="L3" s="11" t="str">
        <f t="shared" si="0"/>
        <v>3F</v>
      </c>
      <c r="M3" s="11" t="str">
        <f t="shared" si="0"/>
        <v>1F</v>
      </c>
      <c r="N3" s="11" t="str">
        <f t="shared" si="0"/>
        <v>E</v>
      </c>
      <c r="O3" s="10">
        <v>0</v>
      </c>
      <c r="P3" s="10">
        <v>0</v>
      </c>
      <c r="Q3" s="10">
        <v>0</v>
      </c>
      <c r="R3" s="10">
        <v>0</v>
      </c>
      <c r="S3" s="10">
        <v>1</v>
      </c>
      <c r="T3" s="10">
        <v>1</v>
      </c>
      <c r="U3" s="10">
        <v>0</v>
      </c>
      <c r="V3" s="11" t="str">
        <f>BIN2HEX(O9&amp;O8&amp;O7&amp;O6&amp;O5&amp;O4&amp;O3)</f>
        <v>14</v>
      </c>
      <c r="W3" s="11" t="str">
        <f t="shared" ref="W3" si="1">BIN2HEX(P9&amp;P8&amp;P7&amp;P6&amp;P5&amp;P4&amp;P3)</f>
        <v>14</v>
      </c>
      <c r="X3" s="11" t="str">
        <f t="shared" ref="X3" si="2">BIN2HEX(Q9&amp;Q8&amp;Q7&amp;Q6&amp;Q5&amp;Q4&amp;Q3)</f>
        <v>0</v>
      </c>
      <c r="Y3" s="11" t="str">
        <f t="shared" ref="Y3" si="3">BIN2HEX(R9&amp;R8&amp;R7&amp;R6&amp;R5&amp;R4&amp;R3)</f>
        <v>22</v>
      </c>
      <c r="Z3" s="11" t="str">
        <f t="shared" ref="Z3" si="4">BIN2HEX(S9&amp;S8&amp;S7&amp;S6&amp;S5&amp;S4&amp;S3)</f>
        <v>49</v>
      </c>
      <c r="AA3" s="11" t="str">
        <f t="shared" ref="AA3" si="5">BIN2HEX(T9&amp;T8&amp;T7&amp;T6&amp;T5&amp;T4&amp;T3)</f>
        <v>49</v>
      </c>
      <c r="AB3" s="11" t="str">
        <f t="shared" ref="AB3" si="6">BIN2HEX(U9&amp;U8&amp;U7&amp;U6&amp;U5&amp;U4&amp;U3)</f>
        <v>36</v>
      </c>
      <c r="AC3" s="10">
        <v>0</v>
      </c>
      <c r="AD3" s="10">
        <v>0</v>
      </c>
      <c r="AE3" s="10">
        <v>1</v>
      </c>
      <c r="AF3" s="10">
        <v>1</v>
      </c>
      <c r="AG3" s="10">
        <v>0</v>
      </c>
      <c r="AH3" s="10">
        <v>0</v>
      </c>
      <c r="AI3" s="10">
        <v>0</v>
      </c>
      <c r="AJ3" s="11" t="str">
        <f>BIN2HEX(AC9&amp;AC8&amp;AC7&amp;AC6&amp;AC5&amp;AC4&amp;AC3)</f>
        <v>0</v>
      </c>
      <c r="AK3" s="11" t="str">
        <f t="shared" ref="AK3" si="7">BIN2HEX(AD9&amp;AD8&amp;AD7&amp;AD6&amp;AD5&amp;AD4&amp;AD3)</f>
        <v>3E</v>
      </c>
      <c r="AL3" s="11" t="str">
        <f t="shared" ref="AL3" si="8">BIN2HEX(AE9&amp;AE8&amp;AE7&amp;AE6&amp;AE5&amp;AE4&amp;AE3)</f>
        <v>9</v>
      </c>
      <c r="AM3" s="11" t="str">
        <f t="shared" ref="AM3" si="9">BIN2HEX(AF9&amp;AF8&amp;AF7&amp;AF6&amp;AF5&amp;AF4&amp;AF3)</f>
        <v>9</v>
      </c>
      <c r="AN3" s="11" t="str">
        <f t="shared" ref="AN3" si="10">BIN2HEX(AG9&amp;AG8&amp;AG7&amp;AG6&amp;AG5&amp;AG4&amp;AG3)</f>
        <v>3E</v>
      </c>
      <c r="AO3" s="11" t="str">
        <f t="shared" ref="AO3" si="11">BIN2HEX(AH9&amp;AH8&amp;AH7&amp;AH6&amp;AH5&amp;AH4&amp;AH3)</f>
        <v>0</v>
      </c>
      <c r="AP3" s="11" t="str">
        <f t="shared" ref="AP3" si="12">BIN2HEX(AI9&amp;AI8&amp;AI7&amp;AI6&amp;AI5&amp;AI4&amp;AI3)</f>
        <v>0</v>
      </c>
      <c r="AQ3" s="10">
        <v>0</v>
      </c>
      <c r="AR3" s="10">
        <v>1</v>
      </c>
      <c r="AS3" s="10">
        <v>1</v>
      </c>
      <c r="AT3" s="10">
        <v>1</v>
      </c>
      <c r="AU3" s="10">
        <v>1</v>
      </c>
      <c r="AV3" s="10">
        <v>0</v>
      </c>
      <c r="AW3" s="10">
        <v>0</v>
      </c>
      <c r="AX3" s="11" t="str">
        <f>BIN2HEX(AQ9&amp;AQ8&amp;AQ7&amp;AQ6&amp;AQ5&amp;AQ4&amp;AQ3)</f>
        <v>0</v>
      </c>
      <c r="AY3" s="11" t="str">
        <f t="shared" ref="AY3" si="13">BIN2HEX(AR9&amp;AR8&amp;AR7&amp;AR6&amp;AR5&amp;AR4&amp;AR3)</f>
        <v>3F</v>
      </c>
      <c r="AZ3" s="11" t="str">
        <f t="shared" ref="AZ3" si="14">BIN2HEX(AS9&amp;AS8&amp;AS7&amp;AS6&amp;AS5&amp;AS4&amp;AS3)</f>
        <v>25</v>
      </c>
      <c r="BA3" s="11" t="str">
        <f t="shared" ref="BA3" si="15">BIN2HEX(AT9&amp;AT8&amp;AT7&amp;AT6&amp;AT5&amp;AT4&amp;AT3)</f>
        <v>25</v>
      </c>
      <c r="BB3" s="11" t="str">
        <f t="shared" ref="BB3" si="16">BIN2HEX(AU9&amp;AU8&amp;AU7&amp;AU6&amp;AU5&amp;AU4&amp;AU3)</f>
        <v>3D</v>
      </c>
      <c r="BC3" s="11" t="str">
        <f t="shared" ref="BC3" si="17">BIN2HEX(AV9&amp;AV8&amp;AV7&amp;AV6&amp;AV5&amp;AV4&amp;AV3)</f>
        <v>0</v>
      </c>
      <c r="BD3" s="11" t="str">
        <f>BIN2HEX(AW9&amp;AW8&amp;AW7&amp;AW6&amp;AW5&amp;AW4&amp;AW3)</f>
        <v>0</v>
      </c>
      <c r="BG3" s="10">
        <v>0</v>
      </c>
      <c r="BH3" s="10">
        <v>0</v>
      </c>
      <c r="BI3" s="10">
        <v>1</v>
      </c>
      <c r="BJ3" s="10">
        <v>1</v>
      </c>
      <c r="BK3" s="10">
        <v>0</v>
      </c>
      <c r="BL3" s="10">
        <v>0</v>
      </c>
      <c r="BM3" s="10">
        <v>0</v>
      </c>
      <c r="BN3" s="11" t="str">
        <f>BIN2HEX(BG9&amp;BG8&amp;BG7&amp;BG6&amp;BG5&amp;BG4&amp;BG3)</f>
        <v>0</v>
      </c>
      <c r="BO3" s="11" t="str">
        <f t="shared" ref="BO3" si="18">BIN2HEX(BH9&amp;BH8&amp;BH7&amp;BH6&amp;BH5&amp;BH4&amp;BH3)</f>
        <v>3E</v>
      </c>
      <c r="BP3" s="11" t="str">
        <f t="shared" ref="BP3" si="19">BIN2HEX(BI9&amp;BI8&amp;BI7&amp;BI6&amp;BI5&amp;BI4&amp;BI3)</f>
        <v>9</v>
      </c>
      <c r="BQ3" s="11" t="str">
        <f t="shared" ref="BQ3" si="20">BIN2HEX(BJ9&amp;BJ8&amp;BJ7&amp;BJ6&amp;BJ5&amp;BJ4&amp;BJ3)</f>
        <v>9</v>
      </c>
      <c r="BR3" s="11" t="str">
        <f t="shared" ref="BR3" si="21">BIN2HEX(BK9&amp;BK8&amp;BK7&amp;BK6&amp;BK5&amp;BK4&amp;BK3)</f>
        <v>3E</v>
      </c>
      <c r="BS3" s="11" t="str">
        <f t="shared" ref="BS3" si="22">BIN2HEX(BL9&amp;BL8&amp;BL7&amp;BL6&amp;BL5&amp;BL4&amp;BL3)</f>
        <v>0</v>
      </c>
      <c r="BT3" s="11" t="str">
        <f>BIN2HEX(BM9&amp;BM8&amp;BM7&amp;BM6&amp;BM5&amp;BM4&amp;BM3)</f>
        <v>0</v>
      </c>
      <c r="BU3" s="10">
        <v>0</v>
      </c>
      <c r="BV3" s="10">
        <v>1</v>
      </c>
      <c r="BW3" s="10">
        <v>1</v>
      </c>
      <c r="BX3" s="10">
        <v>1</v>
      </c>
      <c r="BY3" s="10">
        <v>0</v>
      </c>
      <c r="BZ3" s="10">
        <v>0</v>
      </c>
      <c r="CA3" s="10">
        <v>0</v>
      </c>
      <c r="CB3" s="11" t="str">
        <f>BIN2HEX(BU9&amp;BU8&amp;BU7&amp;BU6&amp;BU5&amp;BU4&amp;BU3)</f>
        <v>0</v>
      </c>
      <c r="CC3" s="11" t="str">
        <f t="shared" ref="CC3" si="23">BIN2HEX(BV9&amp;BV8&amp;BV7&amp;BV6&amp;BV5&amp;BV4&amp;BV3)</f>
        <v>3F</v>
      </c>
      <c r="CD3" s="11" t="str">
        <f t="shared" ref="CD3" si="24">BIN2HEX(BW9&amp;BW8&amp;BW7&amp;BW6&amp;BW5&amp;BW4&amp;BW3)</f>
        <v>25</v>
      </c>
      <c r="CE3" s="11" t="str">
        <f t="shared" ref="CE3" si="25">BIN2HEX(BX9&amp;BX8&amp;BX7&amp;BX6&amp;BX5&amp;BX4&amp;BX3)</f>
        <v>25</v>
      </c>
      <c r="CF3" s="11" t="str">
        <f t="shared" ref="CF3" si="26">BIN2HEX(BY9&amp;BY8&amp;BY7&amp;BY6&amp;BY5&amp;BY4&amp;BY3)</f>
        <v>1A</v>
      </c>
      <c r="CG3" s="11" t="str">
        <f t="shared" ref="CG3" si="27">BIN2HEX(BZ9&amp;BZ8&amp;BZ7&amp;BZ6&amp;BZ5&amp;BZ4&amp;BZ3)</f>
        <v>0</v>
      </c>
      <c r="CH3" s="11" t="str">
        <f>BIN2HEX(CA9&amp;CA8&amp;CA7&amp;CA6&amp;CA5&amp;CA4&amp;CA3)</f>
        <v>0</v>
      </c>
    </row>
    <row r="4" spans="1:86" ht="15" customHeight="1" x14ac:dyDescent="0.25">
      <c r="A4" s="12">
        <v>1</v>
      </c>
      <c r="B4" s="12">
        <v>1</v>
      </c>
      <c r="C4" s="12">
        <v>1</v>
      </c>
      <c r="D4" s="12">
        <v>1</v>
      </c>
      <c r="E4" s="12">
        <v>1</v>
      </c>
      <c r="F4" s="12">
        <v>1</v>
      </c>
      <c r="G4" s="12">
        <v>1</v>
      </c>
      <c r="H4" s="34" t="str">
        <f>"0x"&amp;H3&amp;", 0x"&amp;I3&amp;", 0x"&amp;J3&amp;", 0x"&amp;K3&amp;", 0x"&amp;L3&amp;", 0x"&amp;M3&amp;", 0x"&amp;N3</f>
        <v>0xE, 0x1F, 0x3F, 0x7E, 0x3F, 0x1F, 0xE</v>
      </c>
      <c r="I4" s="35"/>
      <c r="J4" s="35"/>
      <c r="K4" s="35"/>
      <c r="L4" s="35"/>
      <c r="M4" s="35"/>
      <c r="N4" s="35"/>
      <c r="O4" s="12">
        <v>0</v>
      </c>
      <c r="P4" s="12">
        <v>0</v>
      </c>
      <c r="Q4" s="12">
        <v>0</v>
      </c>
      <c r="R4" s="10">
        <v>1</v>
      </c>
      <c r="S4" s="12">
        <v>0</v>
      </c>
      <c r="T4" s="12">
        <v>0</v>
      </c>
      <c r="U4" s="12">
        <v>1</v>
      </c>
      <c r="V4" s="34" t="str">
        <f>"0x"&amp;V3&amp;", 0x"&amp;W3&amp;", 0x"&amp;X3&amp;", 0x"&amp;Y3&amp;", 0x"&amp;Z3&amp;", 0x"&amp;AA3&amp;", 0x"&amp;AB3</f>
        <v>0x14, 0x14, 0x0, 0x22, 0x49, 0x49, 0x36</v>
      </c>
      <c r="W4" s="35"/>
      <c r="X4" s="35"/>
      <c r="Y4" s="35"/>
      <c r="Z4" s="35"/>
      <c r="AA4" s="35"/>
      <c r="AB4" s="35"/>
      <c r="AC4" s="12">
        <v>0</v>
      </c>
      <c r="AD4" s="12">
        <v>1</v>
      </c>
      <c r="AE4" s="12">
        <v>0</v>
      </c>
      <c r="AF4" s="12">
        <v>0</v>
      </c>
      <c r="AG4" s="12">
        <v>1</v>
      </c>
      <c r="AH4" s="10">
        <v>0</v>
      </c>
      <c r="AI4" s="12">
        <v>0</v>
      </c>
      <c r="AJ4" s="34" t="str">
        <f>"0x"&amp;AJ3&amp;", 0x"&amp;AK3&amp;", 0x"&amp;AL3&amp;", 0x"&amp;AM3&amp;", 0x"&amp;AN3&amp;", 0x"&amp;AO3&amp;", 0x"&amp;AP3</f>
        <v>0x0, 0x3E, 0x9, 0x9, 0x3E, 0x0, 0x0</v>
      </c>
      <c r="AK4" s="35"/>
      <c r="AL4" s="35"/>
      <c r="AM4" s="35"/>
      <c r="AN4" s="35"/>
      <c r="AO4" s="35"/>
      <c r="AP4" s="35"/>
      <c r="AQ4" s="12">
        <v>0</v>
      </c>
      <c r="AR4" s="12">
        <v>1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34" t="str">
        <f>"0x"&amp;AX3&amp;", 0x"&amp;AY3&amp;", 0x"&amp;AZ3&amp;", 0x"&amp;BA3&amp;", 0x"&amp;BB3&amp;", 0x"&amp;BC3&amp;", 0x"&amp;BD3</f>
        <v>0x0, 0x3F, 0x25, 0x25, 0x3D, 0x0, 0x0</v>
      </c>
      <c r="AY4" s="35"/>
      <c r="AZ4" s="35"/>
      <c r="BA4" s="35"/>
      <c r="BB4" s="35"/>
      <c r="BC4" s="35"/>
      <c r="BD4" s="35"/>
      <c r="BG4" s="12">
        <v>0</v>
      </c>
      <c r="BH4" s="12">
        <v>1</v>
      </c>
      <c r="BI4" s="12">
        <v>0</v>
      </c>
      <c r="BJ4" s="12">
        <v>0</v>
      </c>
      <c r="BK4" s="12">
        <v>1</v>
      </c>
      <c r="BL4" s="10">
        <v>0</v>
      </c>
      <c r="BM4" s="12">
        <v>0</v>
      </c>
      <c r="BN4" s="34" t="str">
        <f>"0x"&amp;BN3&amp;", 0x"&amp;BO3&amp;", 0x"&amp;BP3&amp;", 0x"&amp;BQ3&amp;", 0x"&amp;BR3&amp;", 0x"&amp;BS3&amp;", 0x"&amp;BT3</f>
        <v>0x0, 0x3E, 0x9, 0x9, 0x3E, 0x0, 0x0</v>
      </c>
      <c r="BO4" s="35"/>
      <c r="BP4" s="35"/>
      <c r="BQ4" s="35"/>
      <c r="BR4" s="35"/>
      <c r="BS4" s="35"/>
      <c r="BT4" s="35"/>
      <c r="BU4" s="12">
        <v>0</v>
      </c>
      <c r="BV4" s="12">
        <v>1</v>
      </c>
      <c r="BW4" s="12">
        <v>0</v>
      </c>
      <c r="BX4" s="12">
        <v>0</v>
      </c>
      <c r="BY4" s="12">
        <v>1</v>
      </c>
      <c r="BZ4" s="10">
        <v>0</v>
      </c>
      <c r="CA4" s="12">
        <v>0</v>
      </c>
      <c r="CB4" s="34" t="str">
        <f>"0x"&amp;CB3&amp;", 0x"&amp;CC3&amp;", 0x"&amp;CD3&amp;", 0x"&amp;CE3&amp;", 0x"&amp;CF3&amp;", 0x"&amp;CG3&amp;", 0x"&amp;CH3</f>
        <v>0x0, 0x3F, 0x25, 0x25, 0x1A, 0x0, 0x0</v>
      </c>
      <c r="CC4" s="35"/>
      <c r="CD4" s="35"/>
      <c r="CE4" s="35"/>
      <c r="CF4" s="35"/>
      <c r="CG4" s="35"/>
      <c r="CH4" s="35"/>
    </row>
    <row r="5" spans="1:86" x14ac:dyDescent="0.25">
      <c r="A5" s="12">
        <v>1</v>
      </c>
      <c r="B5" s="12">
        <v>1</v>
      </c>
      <c r="C5" s="12">
        <v>1</v>
      </c>
      <c r="D5" s="12">
        <v>1</v>
      </c>
      <c r="E5" s="12">
        <v>1</v>
      </c>
      <c r="F5" s="12">
        <v>1</v>
      </c>
      <c r="G5" s="12">
        <v>1</v>
      </c>
      <c r="H5" s="34"/>
      <c r="I5" s="35"/>
      <c r="J5" s="35"/>
      <c r="K5" s="35"/>
      <c r="L5" s="35"/>
      <c r="M5" s="35"/>
      <c r="N5" s="35"/>
      <c r="O5" s="12">
        <v>1</v>
      </c>
      <c r="P5" s="12">
        <v>1</v>
      </c>
      <c r="Q5" s="12">
        <v>0</v>
      </c>
      <c r="R5" s="10">
        <v>0</v>
      </c>
      <c r="S5" s="12">
        <v>0</v>
      </c>
      <c r="T5" s="12">
        <v>0</v>
      </c>
      <c r="U5" s="12">
        <v>1</v>
      </c>
      <c r="V5" s="34"/>
      <c r="W5" s="35"/>
      <c r="X5" s="35"/>
      <c r="Y5" s="35"/>
      <c r="Z5" s="35"/>
      <c r="AA5" s="35"/>
      <c r="AB5" s="35"/>
      <c r="AC5" s="12">
        <v>0</v>
      </c>
      <c r="AD5" s="12">
        <v>1</v>
      </c>
      <c r="AE5" s="12">
        <v>0</v>
      </c>
      <c r="AF5" s="12">
        <v>0</v>
      </c>
      <c r="AG5" s="12">
        <v>1</v>
      </c>
      <c r="AH5" s="10">
        <v>0</v>
      </c>
      <c r="AI5" s="12">
        <v>0</v>
      </c>
      <c r="AJ5" s="34"/>
      <c r="AK5" s="35"/>
      <c r="AL5" s="35"/>
      <c r="AM5" s="35"/>
      <c r="AN5" s="35"/>
      <c r="AO5" s="35"/>
      <c r="AP5" s="35"/>
      <c r="AQ5" s="12">
        <v>0</v>
      </c>
      <c r="AR5" s="12">
        <v>1</v>
      </c>
      <c r="AS5" s="12">
        <v>1</v>
      </c>
      <c r="AT5" s="12">
        <v>1</v>
      </c>
      <c r="AU5" s="12">
        <v>1</v>
      </c>
      <c r="AV5" s="12">
        <v>0</v>
      </c>
      <c r="AW5" s="12">
        <v>0</v>
      </c>
      <c r="AX5" s="34"/>
      <c r="AY5" s="35"/>
      <c r="AZ5" s="35"/>
      <c r="BA5" s="35"/>
      <c r="BB5" s="35"/>
      <c r="BC5" s="35"/>
      <c r="BD5" s="35"/>
      <c r="BG5" s="12">
        <v>0</v>
      </c>
      <c r="BH5" s="12">
        <v>1</v>
      </c>
      <c r="BI5" s="12">
        <v>0</v>
      </c>
      <c r="BJ5" s="12">
        <v>0</v>
      </c>
      <c r="BK5" s="12">
        <v>1</v>
      </c>
      <c r="BL5" s="10">
        <v>0</v>
      </c>
      <c r="BM5" s="12">
        <v>0</v>
      </c>
      <c r="BN5" s="34"/>
      <c r="BO5" s="35"/>
      <c r="BP5" s="35"/>
      <c r="BQ5" s="35"/>
      <c r="BR5" s="35"/>
      <c r="BS5" s="35"/>
      <c r="BT5" s="35"/>
      <c r="BU5" s="12">
        <v>0</v>
      </c>
      <c r="BV5" s="12">
        <v>1</v>
      </c>
      <c r="BW5" s="12">
        <v>1</v>
      </c>
      <c r="BX5" s="12">
        <v>1</v>
      </c>
      <c r="BY5" s="12">
        <v>0</v>
      </c>
      <c r="BZ5" s="10">
        <v>0</v>
      </c>
      <c r="CA5" s="12">
        <v>0</v>
      </c>
      <c r="CB5" s="34"/>
      <c r="CC5" s="35"/>
      <c r="CD5" s="35"/>
      <c r="CE5" s="35"/>
      <c r="CF5" s="35"/>
      <c r="CG5" s="35"/>
      <c r="CH5" s="35"/>
    </row>
    <row r="6" spans="1:86" x14ac:dyDescent="0.25">
      <c r="A6" s="12">
        <v>1</v>
      </c>
      <c r="B6" s="12">
        <v>1</v>
      </c>
      <c r="C6" s="12">
        <v>1</v>
      </c>
      <c r="D6" s="12">
        <v>1</v>
      </c>
      <c r="E6" s="12">
        <v>1</v>
      </c>
      <c r="F6" s="12">
        <v>1</v>
      </c>
      <c r="G6" s="12">
        <v>1</v>
      </c>
      <c r="H6" s="14"/>
      <c r="I6" s="11"/>
      <c r="J6" s="11"/>
      <c r="K6" s="11"/>
      <c r="L6" s="11"/>
      <c r="M6" s="11"/>
      <c r="N6" s="11"/>
      <c r="O6" s="12">
        <v>0</v>
      </c>
      <c r="P6" s="12">
        <v>0</v>
      </c>
      <c r="Q6" s="12">
        <v>0</v>
      </c>
      <c r="R6" s="10">
        <v>0</v>
      </c>
      <c r="S6" s="12">
        <v>1</v>
      </c>
      <c r="T6" s="12">
        <v>1</v>
      </c>
      <c r="U6" s="12">
        <v>0</v>
      </c>
      <c r="V6" s="11"/>
      <c r="W6" s="11"/>
      <c r="X6" s="11"/>
      <c r="Y6" s="11"/>
      <c r="Z6" s="11"/>
      <c r="AA6" s="11"/>
      <c r="AB6" s="11"/>
      <c r="AC6" s="12">
        <v>0</v>
      </c>
      <c r="AD6" s="12">
        <v>1</v>
      </c>
      <c r="AE6" s="12">
        <v>1</v>
      </c>
      <c r="AF6" s="12">
        <v>1</v>
      </c>
      <c r="AG6" s="12">
        <v>1</v>
      </c>
      <c r="AH6" s="10">
        <v>0</v>
      </c>
      <c r="AI6" s="12">
        <v>0</v>
      </c>
      <c r="AJ6" s="36" t="s">
        <v>8</v>
      </c>
      <c r="AK6" s="37"/>
      <c r="AL6" s="37"/>
      <c r="AM6" s="37"/>
      <c r="AN6" s="37"/>
      <c r="AO6" s="37"/>
      <c r="AP6" s="37"/>
      <c r="AQ6" s="12">
        <v>0</v>
      </c>
      <c r="AR6" s="12">
        <v>1</v>
      </c>
      <c r="AS6" s="12">
        <v>0</v>
      </c>
      <c r="AT6" s="12">
        <v>0</v>
      </c>
      <c r="AU6" s="12">
        <v>1</v>
      </c>
      <c r="AV6" s="12">
        <v>0</v>
      </c>
      <c r="AW6" s="12">
        <v>0</v>
      </c>
      <c r="AX6" s="36" t="s">
        <v>7</v>
      </c>
      <c r="AY6" s="37"/>
      <c r="AZ6" s="37"/>
      <c r="BA6" s="37"/>
      <c r="BB6" s="37"/>
      <c r="BC6" s="37"/>
      <c r="BD6" s="37"/>
      <c r="BG6" s="12">
        <v>0</v>
      </c>
      <c r="BH6" s="12">
        <v>1</v>
      </c>
      <c r="BI6" s="12">
        <v>1</v>
      </c>
      <c r="BJ6" s="12">
        <v>1</v>
      </c>
      <c r="BK6" s="12">
        <v>1</v>
      </c>
      <c r="BL6" s="10">
        <v>0</v>
      </c>
      <c r="BM6" s="12">
        <v>0</v>
      </c>
      <c r="BN6" s="36" t="s">
        <v>56</v>
      </c>
      <c r="BO6" s="37"/>
      <c r="BP6" s="37"/>
      <c r="BQ6" s="37"/>
      <c r="BR6" s="37"/>
      <c r="BS6" s="37"/>
      <c r="BT6" s="37"/>
      <c r="BU6" s="12">
        <v>0</v>
      </c>
      <c r="BV6" s="12">
        <v>1</v>
      </c>
      <c r="BW6" s="12">
        <v>0</v>
      </c>
      <c r="BX6" s="12">
        <v>0</v>
      </c>
      <c r="BY6" s="12">
        <v>1</v>
      </c>
      <c r="BZ6" s="10">
        <v>0</v>
      </c>
      <c r="CA6" s="12">
        <v>0</v>
      </c>
      <c r="CB6" s="36" t="s">
        <v>57</v>
      </c>
      <c r="CC6" s="37"/>
      <c r="CD6" s="37"/>
      <c r="CE6" s="37"/>
      <c r="CF6" s="37"/>
      <c r="CG6" s="37"/>
      <c r="CH6" s="37"/>
    </row>
    <row r="7" spans="1:86" ht="15" customHeight="1" x14ac:dyDescent="0.25">
      <c r="A7" s="12">
        <v>0</v>
      </c>
      <c r="B7" s="12">
        <v>1</v>
      </c>
      <c r="C7" s="12">
        <v>1</v>
      </c>
      <c r="D7" s="12">
        <v>1</v>
      </c>
      <c r="E7" s="12">
        <v>1</v>
      </c>
      <c r="F7" s="12">
        <v>1</v>
      </c>
      <c r="G7" s="12">
        <v>0</v>
      </c>
      <c r="H7" s="30" t="str">
        <f>"{{"&amp;H4&amp;"}"&amp;", "&amp;$H$1&amp;"},  //"&amp;H6&amp;":"&amp;L2&amp;":"&amp;N2</f>
        <v>{{0xE, 0x1F, 0x3F, 0x7E, 0x3F, 0x1F, 0xE}, 7},  //::</v>
      </c>
      <c r="I7" s="35"/>
      <c r="J7" s="35"/>
      <c r="K7" s="35"/>
      <c r="L7" s="35"/>
      <c r="M7" s="35"/>
      <c r="N7" s="35"/>
      <c r="O7" s="12">
        <v>1</v>
      </c>
      <c r="P7" s="12">
        <v>1</v>
      </c>
      <c r="Q7" s="12">
        <v>0</v>
      </c>
      <c r="R7" s="10">
        <v>0</v>
      </c>
      <c r="S7" s="12">
        <v>0</v>
      </c>
      <c r="T7" s="12">
        <v>0</v>
      </c>
      <c r="U7" s="12">
        <v>1</v>
      </c>
      <c r="V7" s="30" t="str">
        <f>"{{"&amp;V4&amp;"}"&amp;", "&amp;$H$1&amp;"},  //"&amp;V6&amp;":"&amp;Z2&amp;":"&amp;AB2</f>
        <v>{{0x14, 0x14, 0x0, 0x22, 0x49, 0x49, 0x36}, 7},  //::</v>
      </c>
      <c r="W7" s="35"/>
      <c r="X7" s="35"/>
      <c r="Y7" s="35"/>
      <c r="Z7" s="35"/>
      <c r="AA7" s="35"/>
      <c r="AB7" s="35"/>
      <c r="AC7" s="12">
        <v>0</v>
      </c>
      <c r="AD7" s="12">
        <v>1</v>
      </c>
      <c r="AE7" s="12">
        <v>0</v>
      </c>
      <c r="AF7" s="12">
        <v>0</v>
      </c>
      <c r="AG7" s="12">
        <v>1</v>
      </c>
      <c r="AH7" s="10">
        <v>0</v>
      </c>
      <c r="AI7" s="12">
        <v>0</v>
      </c>
      <c r="AJ7" s="30" t="str">
        <f>"{{"&amp;AJ4&amp;"}"&amp;", "&amp;$H$1&amp;"},  //"&amp;AJ6&amp;":"&amp;AN2&amp;":"&amp;AP2</f>
        <v>{{0x0, 0x3E, 0x9, 0x9, 0x3E, 0x0, 0x0}, 7},  //А:208:144</v>
      </c>
      <c r="AK7" s="35"/>
      <c r="AL7" s="35"/>
      <c r="AM7" s="35"/>
      <c r="AN7" s="35"/>
      <c r="AO7" s="35"/>
      <c r="AP7" s="35"/>
      <c r="AQ7" s="12">
        <v>0</v>
      </c>
      <c r="AR7" s="12">
        <v>1</v>
      </c>
      <c r="AS7" s="12">
        <v>0</v>
      </c>
      <c r="AT7" s="12">
        <v>0</v>
      </c>
      <c r="AU7" s="12">
        <v>1</v>
      </c>
      <c r="AV7" s="12">
        <v>0</v>
      </c>
      <c r="AW7" s="12">
        <v>0</v>
      </c>
      <c r="AX7" s="30" t="str">
        <f>"{{"&amp;AX4&amp;"}"&amp;", "&amp;$H$1&amp;"},  //"&amp;AX6&amp;":"&amp;BB2&amp;":"&amp;BD2</f>
        <v>{{0x0, 0x3F, 0x25, 0x25, 0x3D, 0x0, 0x0}, 7},  //Б:208:145</v>
      </c>
      <c r="AY7" s="35"/>
      <c r="AZ7" s="35"/>
      <c r="BA7" s="35"/>
      <c r="BB7" s="35"/>
      <c r="BC7" s="35"/>
      <c r="BD7" s="35"/>
      <c r="BG7" s="12">
        <v>0</v>
      </c>
      <c r="BH7" s="12">
        <v>1</v>
      </c>
      <c r="BI7" s="12">
        <v>0</v>
      </c>
      <c r="BJ7" s="12">
        <v>0</v>
      </c>
      <c r="BK7" s="12">
        <v>1</v>
      </c>
      <c r="BL7" s="10">
        <v>0</v>
      </c>
      <c r="BM7" s="12">
        <v>0</v>
      </c>
      <c r="BN7" s="30" t="str">
        <f>"{{"&amp;BN4&amp;"}"&amp;", "&amp;$H$1&amp;"},  //"&amp;BN6&amp;":"&amp;BR2&amp;":"&amp;BT2</f>
        <v>{{0x0, 0x3E, 0x9, 0x9, 0x3E, 0x0, 0x0}, 7},  //A:0:65</v>
      </c>
      <c r="BO7" s="35"/>
      <c r="BP7" s="35"/>
      <c r="BQ7" s="35"/>
      <c r="BR7" s="35"/>
      <c r="BS7" s="35"/>
      <c r="BT7" s="35"/>
      <c r="BU7" s="12">
        <v>0</v>
      </c>
      <c r="BV7" s="12">
        <v>1</v>
      </c>
      <c r="BW7" s="12">
        <v>0</v>
      </c>
      <c r="BX7" s="12">
        <v>0</v>
      </c>
      <c r="BY7" s="12">
        <v>1</v>
      </c>
      <c r="BZ7" s="10">
        <v>0</v>
      </c>
      <c r="CA7" s="12">
        <v>0</v>
      </c>
      <c r="CB7" s="30" t="str">
        <f>"{{"&amp;CB4&amp;"}"&amp;", "&amp;$H$1&amp;"},  //"&amp;CB6&amp;":"&amp;CF2&amp;":"&amp;CH2</f>
        <v>{{0x0, 0x3F, 0x25, 0x25, 0x1A, 0x0, 0x0}, 7},  //B:0:66</v>
      </c>
      <c r="CC7" s="35"/>
      <c r="CD7" s="35"/>
      <c r="CE7" s="35"/>
      <c r="CF7" s="35"/>
      <c r="CG7" s="35"/>
      <c r="CH7" s="35"/>
    </row>
    <row r="8" spans="1:86" x14ac:dyDescent="0.25">
      <c r="A8" s="12">
        <v>0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2">
        <v>0</v>
      </c>
      <c r="H8" s="30"/>
      <c r="I8" s="35"/>
      <c r="J8" s="35"/>
      <c r="K8" s="35"/>
      <c r="L8" s="35"/>
      <c r="M8" s="35"/>
      <c r="N8" s="35"/>
      <c r="O8" s="12">
        <v>0</v>
      </c>
      <c r="P8" s="12">
        <v>0</v>
      </c>
      <c r="Q8" s="12">
        <v>0</v>
      </c>
      <c r="R8" s="10">
        <v>1</v>
      </c>
      <c r="S8" s="12">
        <v>0</v>
      </c>
      <c r="T8" s="12">
        <v>0</v>
      </c>
      <c r="U8" s="12">
        <v>1</v>
      </c>
      <c r="V8" s="30"/>
      <c r="W8" s="35"/>
      <c r="X8" s="35"/>
      <c r="Y8" s="35"/>
      <c r="Z8" s="35"/>
      <c r="AA8" s="35"/>
      <c r="AB8" s="35"/>
      <c r="AC8" s="12">
        <v>0</v>
      </c>
      <c r="AD8" s="12">
        <v>1</v>
      </c>
      <c r="AE8" s="12">
        <v>0</v>
      </c>
      <c r="AF8" s="12">
        <v>0</v>
      </c>
      <c r="AG8" s="12">
        <v>1</v>
      </c>
      <c r="AH8" s="10">
        <v>0</v>
      </c>
      <c r="AI8" s="12">
        <v>0</v>
      </c>
      <c r="AJ8" s="30"/>
      <c r="AK8" s="35"/>
      <c r="AL8" s="35"/>
      <c r="AM8" s="35"/>
      <c r="AN8" s="35"/>
      <c r="AO8" s="35"/>
      <c r="AP8" s="35"/>
      <c r="AQ8" s="12">
        <v>0</v>
      </c>
      <c r="AR8" s="12">
        <v>1</v>
      </c>
      <c r="AS8" s="12">
        <v>1</v>
      </c>
      <c r="AT8" s="12">
        <v>1</v>
      </c>
      <c r="AU8" s="12">
        <v>1</v>
      </c>
      <c r="AV8" s="12">
        <v>0</v>
      </c>
      <c r="AW8" s="12">
        <v>0</v>
      </c>
      <c r="AX8" s="30"/>
      <c r="AY8" s="35"/>
      <c r="AZ8" s="35"/>
      <c r="BA8" s="35"/>
      <c r="BB8" s="35"/>
      <c r="BC8" s="35"/>
      <c r="BD8" s="35"/>
      <c r="BG8" s="12">
        <v>0</v>
      </c>
      <c r="BH8" s="12">
        <v>1</v>
      </c>
      <c r="BI8" s="12">
        <v>0</v>
      </c>
      <c r="BJ8" s="12">
        <v>0</v>
      </c>
      <c r="BK8" s="12">
        <v>1</v>
      </c>
      <c r="BL8" s="10">
        <v>0</v>
      </c>
      <c r="BM8" s="12">
        <v>0</v>
      </c>
      <c r="BN8" s="30"/>
      <c r="BO8" s="35"/>
      <c r="BP8" s="35"/>
      <c r="BQ8" s="35"/>
      <c r="BR8" s="35"/>
      <c r="BS8" s="35"/>
      <c r="BT8" s="35"/>
      <c r="BU8" s="12">
        <v>0</v>
      </c>
      <c r="BV8" s="12">
        <v>1</v>
      </c>
      <c r="BW8" s="12">
        <v>1</v>
      </c>
      <c r="BX8" s="12">
        <v>1</v>
      </c>
      <c r="BY8" s="12">
        <v>0</v>
      </c>
      <c r="BZ8" s="10">
        <v>0</v>
      </c>
      <c r="CA8" s="12">
        <v>0</v>
      </c>
      <c r="CB8" s="30"/>
      <c r="CC8" s="35"/>
      <c r="CD8" s="35"/>
      <c r="CE8" s="35"/>
      <c r="CF8" s="35"/>
      <c r="CG8" s="35"/>
      <c r="CH8" s="35"/>
    </row>
    <row r="9" spans="1:86" x14ac:dyDescent="0.25">
      <c r="A9" s="12">
        <v>0</v>
      </c>
      <c r="B9" s="12">
        <v>0</v>
      </c>
      <c r="C9" s="12">
        <v>0</v>
      </c>
      <c r="D9" s="12">
        <v>1</v>
      </c>
      <c r="E9" s="12">
        <v>0</v>
      </c>
      <c r="F9" s="12">
        <v>0</v>
      </c>
      <c r="G9" s="12">
        <v>0</v>
      </c>
      <c r="H9" s="11"/>
      <c r="I9" s="11"/>
      <c r="J9" s="11"/>
      <c r="K9" s="11"/>
      <c r="L9" s="11"/>
      <c r="M9" s="11"/>
      <c r="N9" s="11"/>
      <c r="O9" s="12">
        <v>0</v>
      </c>
      <c r="P9" s="12">
        <v>0</v>
      </c>
      <c r="Q9" s="12">
        <v>0</v>
      </c>
      <c r="R9" s="10">
        <v>0</v>
      </c>
      <c r="S9" s="12">
        <v>1</v>
      </c>
      <c r="T9" s="12">
        <v>1</v>
      </c>
      <c r="U9" s="12">
        <v>0</v>
      </c>
      <c r="V9" s="11"/>
      <c r="W9" s="11"/>
      <c r="X9" s="11"/>
      <c r="Y9" s="11"/>
      <c r="Z9" s="11"/>
      <c r="AA9" s="11"/>
      <c r="AB9" s="11"/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36" t="s">
        <v>48</v>
      </c>
      <c r="AK9" s="37"/>
      <c r="AL9" s="37"/>
      <c r="AM9" s="37"/>
      <c r="AN9" s="38">
        <v>208</v>
      </c>
      <c r="AO9" s="38"/>
      <c r="AP9" s="19">
        <v>176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36" t="s">
        <v>48</v>
      </c>
      <c r="AY9" s="37"/>
      <c r="AZ9" s="37"/>
      <c r="BA9" s="37"/>
      <c r="BB9" s="38">
        <v>208</v>
      </c>
      <c r="BC9" s="38"/>
      <c r="BD9" s="19">
        <v>177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36" t="s">
        <v>48</v>
      </c>
      <c r="BO9" s="37"/>
      <c r="BP9" s="37"/>
      <c r="BQ9" s="37"/>
      <c r="BR9" s="38">
        <v>0</v>
      </c>
      <c r="BS9" s="38"/>
      <c r="BT9" s="19">
        <v>97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36" t="s">
        <v>48</v>
      </c>
      <c r="CC9" s="37"/>
      <c r="CD9" s="37"/>
      <c r="CE9" s="37"/>
      <c r="CF9" s="38">
        <v>0</v>
      </c>
      <c r="CG9" s="38"/>
      <c r="CH9" s="19">
        <v>98</v>
      </c>
    </row>
    <row r="10" spans="1:86" s="5" customFormat="1" x14ac:dyDescent="0.25">
      <c r="A10" s="9">
        <v>1</v>
      </c>
      <c r="B10" s="9">
        <v>2</v>
      </c>
      <c r="C10" s="9">
        <v>3</v>
      </c>
      <c r="D10" s="9">
        <v>4</v>
      </c>
      <c r="E10" s="9">
        <v>5</v>
      </c>
      <c r="F10" s="9">
        <v>6</v>
      </c>
      <c r="G10" s="9">
        <v>7</v>
      </c>
      <c r="H10" s="39" t="s">
        <v>0</v>
      </c>
      <c r="I10" s="39"/>
      <c r="J10" s="39"/>
      <c r="K10" s="39"/>
      <c r="L10" s="40">
        <v>208</v>
      </c>
      <c r="M10" s="40"/>
      <c r="N10" s="15">
        <v>146</v>
      </c>
      <c r="O10" s="9">
        <v>1</v>
      </c>
      <c r="P10" s="9">
        <v>2</v>
      </c>
      <c r="Q10" s="9">
        <v>3</v>
      </c>
      <c r="R10" s="9">
        <v>4</v>
      </c>
      <c r="S10" s="9">
        <v>5</v>
      </c>
      <c r="T10" s="9">
        <v>6</v>
      </c>
      <c r="U10" s="9">
        <v>7</v>
      </c>
      <c r="V10" s="39" t="s">
        <v>0</v>
      </c>
      <c r="W10" s="39"/>
      <c r="X10" s="39"/>
      <c r="Y10" s="39"/>
      <c r="Z10" s="40">
        <v>208</v>
      </c>
      <c r="AA10" s="40"/>
      <c r="AB10" s="15">
        <v>147</v>
      </c>
      <c r="AC10" s="9">
        <v>1</v>
      </c>
      <c r="AD10" s="9">
        <v>2</v>
      </c>
      <c r="AE10" s="9">
        <v>3</v>
      </c>
      <c r="AF10" s="9">
        <v>4</v>
      </c>
      <c r="AG10" s="9">
        <v>5</v>
      </c>
      <c r="AH10" s="9">
        <v>6</v>
      </c>
      <c r="AI10" s="9">
        <v>7</v>
      </c>
      <c r="AJ10" s="39" t="s">
        <v>0</v>
      </c>
      <c r="AK10" s="39"/>
      <c r="AL10" s="39"/>
      <c r="AM10" s="39"/>
      <c r="AN10" s="40">
        <v>208</v>
      </c>
      <c r="AO10" s="40"/>
      <c r="AP10" s="15">
        <v>148</v>
      </c>
      <c r="AQ10" s="9">
        <v>1</v>
      </c>
      <c r="AR10" s="9">
        <v>2</v>
      </c>
      <c r="AS10" s="9">
        <v>3</v>
      </c>
      <c r="AT10" s="9">
        <v>4</v>
      </c>
      <c r="AU10" s="9">
        <v>5</v>
      </c>
      <c r="AV10" s="9">
        <v>6</v>
      </c>
      <c r="AW10" s="9">
        <v>7</v>
      </c>
      <c r="AX10" s="39" t="s">
        <v>0</v>
      </c>
      <c r="AY10" s="39"/>
      <c r="AZ10" s="39"/>
      <c r="BA10" s="39"/>
      <c r="BB10" s="40">
        <v>208</v>
      </c>
      <c r="BC10" s="40"/>
      <c r="BD10" s="15">
        <v>149</v>
      </c>
      <c r="BE10" s="21"/>
      <c r="BF10" s="21"/>
      <c r="BG10" s="22">
        <v>1</v>
      </c>
      <c r="BH10" s="9">
        <v>2</v>
      </c>
      <c r="BI10" s="9">
        <v>3</v>
      </c>
      <c r="BJ10" s="9">
        <v>4</v>
      </c>
      <c r="BK10" s="9">
        <v>5</v>
      </c>
      <c r="BL10" s="9">
        <v>6</v>
      </c>
      <c r="BM10" s="9">
        <v>7</v>
      </c>
      <c r="BN10" s="39" t="s">
        <v>0</v>
      </c>
      <c r="BO10" s="39"/>
      <c r="BP10" s="39"/>
      <c r="BQ10" s="39"/>
      <c r="BR10" s="40">
        <v>0</v>
      </c>
      <c r="BS10" s="40"/>
      <c r="BT10" s="15">
        <v>67</v>
      </c>
      <c r="BU10" s="9">
        <v>1</v>
      </c>
      <c r="BV10" s="9">
        <v>2</v>
      </c>
      <c r="BW10" s="9">
        <v>3</v>
      </c>
      <c r="BX10" s="9">
        <v>4</v>
      </c>
      <c r="BY10" s="9">
        <v>5</v>
      </c>
      <c r="BZ10" s="9">
        <v>6</v>
      </c>
      <c r="CA10" s="9">
        <v>7</v>
      </c>
      <c r="CB10" s="39" t="s">
        <v>0</v>
      </c>
      <c r="CC10" s="39"/>
      <c r="CD10" s="39"/>
      <c r="CE10" s="39"/>
      <c r="CF10" s="40">
        <v>0</v>
      </c>
      <c r="CG10" s="40"/>
      <c r="CH10" s="15">
        <v>68</v>
      </c>
    </row>
    <row r="11" spans="1:86" x14ac:dyDescent="0.25">
      <c r="A11" s="10">
        <v>0</v>
      </c>
      <c r="B11" s="10">
        <v>1</v>
      </c>
      <c r="C11" s="10">
        <v>1</v>
      </c>
      <c r="D11" s="10">
        <v>1</v>
      </c>
      <c r="E11" s="10">
        <v>0</v>
      </c>
      <c r="F11" s="10">
        <v>0</v>
      </c>
      <c r="G11" s="10">
        <v>0</v>
      </c>
      <c r="H11" s="11" t="str">
        <f>BIN2HEX(A17&amp;A16&amp;A15&amp;A14&amp;A13&amp;A12&amp;A11)</f>
        <v>0</v>
      </c>
      <c r="I11" s="11" t="str">
        <f>BIN2HEX(B17&amp;B16&amp;B15&amp;B14&amp;B13&amp;B12&amp;B11)</f>
        <v>3F</v>
      </c>
      <c r="J11" s="11" t="str">
        <f t="shared" ref="J11" si="28">BIN2HEX(C17&amp;C16&amp;C15&amp;C14&amp;C13&amp;C12&amp;C11)</f>
        <v>25</v>
      </c>
      <c r="K11" s="11" t="str">
        <f t="shared" ref="K11" si="29">BIN2HEX(D17&amp;D16&amp;D15&amp;D14&amp;D13&amp;D12&amp;D11)</f>
        <v>25</v>
      </c>
      <c r="L11" s="11" t="str">
        <f t="shared" ref="L11" si="30">BIN2HEX(E17&amp;E16&amp;E15&amp;E14&amp;E13&amp;E12&amp;E11)</f>
        <v>1A</v>
      </c>
      <c r="M11" s="11" t="str">
        <f t="shared" ref="M11" si="31">BIN2HEX(F17&amp;F16&amp;F15&amp;F14&amp;F13&amp;F12&amp;F11)</f>
        <v>0</v>
      </c>
      <c r="N11" s="11" t="str">
        <f t="shared" ref="N11" si="32">BIN2HEX(G17&amp;G16&amp;G15&amp;G14&amp;G13&amp;G12&amp;G11)</f>
        <v>0</v>
      </c>
      <c r="O11" s="10">
        <v>0</v>
      </c>
      <c r="P11" s="10">
        <v>0</v>
      </c>
      <c r="Q11" s="10">
        <v>1</v>
      </c>
      <c r="R11" s="10">
        <v>1</v>
      </c>
      <c r="S11" s="10">
        <v>1</v>
      </c>
      <c r="T11" s="10">
        <v>0</v>
      </c>
      <c r="U11" s="10">
        <v>0</v>
      </c>
      <c r="V11" s="11" t="str">
        <f>BIN2HEX(O17&amp;O16&amp;O15&amp;O14&amp;O13&amp;O12&amp;O11)</f>
        <v>0</v>
      </c>
      <c r="W11" s="11" t="str">
        <f t="shared" ref="W11" si="33">BIN2HEX(P17&amp;P16&amp;P15&amp;P14&amp;P13&amp;P12&amp;P11)</f>
        <v>3E</v>
      </c>
      <c r="X11" s="11" t="str">
        <f t="shared" ref="X11" si="34">BIN2HEX(Q17&amp;Q16&amp;Q15&amp;Q14&amp;Q13&amp;Q12&amp;Q11)</f>
        <v>1</v>
      </c>
      <c r="Y11" s="11" t="str">
        <f t="shared" ref="Y11" si="35">BIN2HEX(R17&amp;R16&amp;R15&amp;R14&amp;R13&amp;R12&amp;R11)</f>
        <v>1</v>
      </c>
      <c r="Z11" s="11" t="str">
        <f t="shared" ref="Z11" si="36">BIN2HEX(S17&amp;S16&amp;S15&amp;S14&amp;S13&amp;S12&amp;S11)</f>
        <v>1</v>
      </c>
      <c r="AA11" s="11" t="str">
        <f t="shared" ref="AA11" si="37">BIN2HEX(T17&amp;T16&amp;T15&amp;T14&amp;T13&amp;T12&amp;T11)</f>
        <v>0</v>
      </c>
      <c r="AB11" s="11" t="str">
        <f t="shared" ref="AB11" si="38">BIN2HEX(U17&amp;U16&amp;U15&amp;U14&amp;U13&amp;U12&amp;U11)</f>
        <v>0</v>
      </c>
      <c r="AC11" s="10">
        <v>0</v>
      </c>
      <c r="AD11" s="10">
        <v>0</v>
      </c>
      <c r="AE11" s="10">
        <v>0</v>
      </c>
      <c r="AF11" s="10">
        <v>1</v>
      </c>
      <c r="AG11" s="10">
        <v>1</v>
      </c>
      <c r="AH11" s="10">
        <v>0</v>
      </c>
      <c r="AI11" s="10">
        <v>0</v>
      </c>
      <c r="AJ11" s="11" t="str">
        <f>BIN2HEX(AC17&amp;AC16&amp;AC15&amp;AC14&amp;AC13&amp;AC12&amp;AC11)</f>
        <v>0</v>
      </c>
      <c r="AK11" s="11" t="str">
        <f t="shared" ref="AK11" si="39">BIN2HEX(AD17&amp;AD16&amp;AD15&amp;AD14&amp;AD13&amp;AD12&amp;AD11)</f>
        <v>30</v>
      </c>
      <c r="AL11" s="11" t="str">
        <f t="shared" ref="AL11" si="40">BIN2HEX(AE17&amp;AE16&amp;AE15&amp;AE14&amp;AE13&amp;AE12&amp;AE11)</f>
        <v>1E</v>
      </c>
      <c r="AM11" s="11" t="str">
        <f t="shared" ref="AM11" si="41">BIN2HEX(AF17&amp;AF16&amp;AF15&amp;AF14&amp;AF13&amp;AF12&amp;AF11)</f>
        <v>11</v>
      </c>
      <c r="AN11" s="11" t="str">
        <f t="shared" ref="AN11" si="42">BIN2HEX(AG17&amp;AG16&amp;AG15&amp;AG14&amp;AG13&amp;AG12&amp;AG11)</f>
        <v>3F</v>
      </c>
      <c r="AO11" s="11" t="str">
        <f t="shared" ref="AO11" si="43">BIN2HEX(AH17&amp;AH16&amp;AH15&amp;AH14&amp;AH13&amp;AH12&amp;AH11)</f>
        <v>0</v>
      </c>
      <c r="AP11" s="11" t="str">
        <f t="shared" ref="AP11" si="44">BIN2HEX(AI17&amp;AI16&amp;AI15&amp;AI14&amp;AI13&amp;AI12&amp;AI11)</f>
        <v>0</v>
      </c>
      <c r="AQ11" s="10">
        <v>0</v>
      </c>
      <c r="AR11" s="10">
        <v>0</v>
      </c>
      <c r="AS11" s="10">
        <v>1</v>
      </c>
      <c r="AT11" s="10">
        <v>1</v>
      </c>
      <c r="AU11" s="10">
        <v>0</v>
      </c>
      <c r="AV11" s="10">
        <v>0</v>
      </c>
      <c r="AW11" s="10">
        <v>0</v>
      </c>
      <c r="AX11" s="11" t="str">
        <f>BIN2HEX(AQ17&amp;AQ16&amp;AQ15&amp;AQ14&amp;AQ13&amp;AQ12&amp;AQ11)</f>
        <v>0</v>
      </c>
      <c r="AY11" s="11" t="str">
        <f t="shared" ref="AY11" si="45">BIN2HEX(AR17&amp;AR16&amp;AR15&amp;AR14&amp;AR13&amp;AR12&amp;AR11)</f>
        <v>1E</v>
      </c>
      <c r="AZ11" s="11" t="str">
        <f t="shared" ref="AZ11" si="46">BIN2HEX(AS17&amp;AS16&amp;AS15&amp;AS14&amp;AS13&amp;AS12&amp;AS11)</f>
        <v>29</v>
      </c>
      <c r="BA11" s="11" t="str">
        <f t="shared" ref="BA11" si="47">BIN2HEX(AT17&amp;AT16&amp;AT15&amp;AT14&amp;AT13&amp;AT12&amp;AT11)</f>
        <v>29</v>
      </c>
      <c r="BB11" s="11" t="str">
        <f t="shared" ref="BB11" si="48">BIN2HEX(AU17&amp;AU16&amp;AU15&amp;AU14&amp;AU13&amp;AU12&amp;AU11)</f>
        <v>26</v>
      </c>
      <c r="BC11" s="11" t="str">
        <f t="shared" ref="BC11" si="49">BIN2HEX(AV17&amp;AV16&amp;AV15&amp;AV14&amp;AV13&amp;AV12&amp;AV11)</f>
        <v>0</v>
      </c>
      <c r="BD11" s="11" t="str">
        <f t="shared" ref="BD11" si="50">BIN2HEX(AW17&amp;AW16&amp;AW15&amp;AW14&amp;AW13&amp;AW12&amp;AW11)</f>
        <v>0</v>
      </c>
      <c r="BG11" s="23">
        <v>0</v>
      </c>
      <c r="BH11" s="10">
        <v>0</v>
      </c>
      <c r="BI11" s="10">
        <v>1</v>
      </c>
      <c r="BJ11" s="10">
        <v>1</v>
      </c>
      <c r="BK11" s="10">
        <v>1</v>
      </c>
      <c r="BL11" s="10">
        <v>0</v>
      </c>
      <c r="BM11" s="10">
        <v>0</v>
      </c>
      <c r="BN11" s="11" t="str">
        <f>BIN2HEX(BG17&amp;BG16&amp;BG15&amp;BG14&amp;BG13&amp;BG12&amp;BG11)</f>
        <v>0</v>
      </c>
      <c r="BO11" s="11" t="str">
        <f t="shared" ref="BO11" si="51">BIN2HEX(BH17&amp;BH16&amp;BH15&amp;BH14&amp;BH13&amp;BH12&amp;BH11)</f>
        <v>1E</v>
      </c>
      <c r="BP11" s="11" t="str">
        <f t="shared" ref="BP11" si="52">BIN2HEX(BI17&amp;BI16&amp;BI15&amp;BI14&amp;BI13&amp;BI12&amp;BI11)</f>
        <v>21</v>
      </c>
      <c r="BQ11" s="11" t="str">
        <f t="shared" ref="BQ11" si="53">BIN2HEX(BJ17&amp;BJ16&amp;BJ15&amp;BJ14&amp;BJ13&amp;BJ12&amp;BJ11)</f>
        <v>21</v>
      </c>
      <c r="BR11" s="11" t="str">
        <f t="shared" ref="BR11" si="54">BIN2HEX(BK17&amp;BK16&amp;BK15&amp;BK14&amp;BK13&amp;BK12&amp;BK11)</f>
        <v>21</v>
      </c>
      <c r="BS11" s="11" t="str">
        <f t="shared" ref="BS11" si="55">BIN2HEX(BL17&amp;BL16&amp;BL15&amp;BL14&amp;BL13&amp;BL12&amp;BL11)</f>
        <v>0</v>
      </c>
      <c r="BT11" s="11" t="str">
        <f t="shared" ref="BT11" si="56">BIN2HEX(BM17&amp;BM16&amp;BM15&amp;BM14&amp;BM13&amp;BM12&amp;BM11)</f>
        <v>0</v>
      </c>
      <c r="BU11" s="10">
        <v>0</v>
      </c>
      <c r="BV11" s="10">
        <v>1</v>
      </c>
      <c r="BW11" s="10">
        <v>1</v>
      </c>
      <c r="BX11" s="10">
        <v>1</v>
      </c>
      <c r="BY11" s="10">
        <v>0</v>
      </c>
      <c r="BZ11" s="10">
        <v>0</v>
      </c>
      <c r="CA11" s="10">
        <v>0</v>
      </c>
      <c r="CB11" s="11" t="str">
        <f>BIN2HEX(BU17&amp;BU16&amp;BU15&amp;BU14&amp;BU13&amp;BU12&amp;BU11)</f>
        <v>0</v>
      </c>
      <c r="CC11" s="11" t="str">
        <f t="shared" ref="CC11" si="57">BIN2HEX(BV17&amp;BV16&amp;BV15&amp;BV14&amp;BV13&amp;BV12&amp;BV11)</f>
        <v>3F</v>
      </c>
      <c r="CD11" s="11" t="str">
        <f t="shared" ref="CD11" si="58">BIN2HEX(BW17&amp;BW16&amp;BW15&amp;BW14&amp;BW13&amp;BW12&amp;BW11)</f>
        <v>21</v>
      </c>
      <c r="CE11" s="11" t="str">
        <f t="shared" ref="CE11" si="59">BIN2HEX(BX17&amp;BX16&amp;BX15&amp;BX14&amp;BX13&amp;BX12&amp;BX11)</f>
        <v>21</v>
      </c>
      <c r="CF11" s="11" t="str">
        <f t="shared" ref="CF11" si="60">BIN2HEX(BY17&amp;BY16&amp;BY15&amp;BY14&amp;BY13&amp;BY12&amp;BY11)</f>
        <v>1E</v>
      </c>
      <c r="CG11" s="11" t="str">
        <f t="shared" ref="CG11" si="61">BIN2HEX(BZ17&amp;BZ16&amp;BZ15&amp;BZ14&amp;BZ13&amp;BZ12&amp;BZ11)</f>
        <v>0</v>
      </c>
      <c r="CH11" s="11" t="str">
        <f t="shared" ref="CH11" si="62">BIN2HEX(CA17&amp;CA16&amp;CA15&amp;CA14&amp;CA13&amp;CA12&amp;CA11)</f>
        <v>0</v>
      </c>
    </row>
    <row r="12" spans="1:86" ht="15" customHeight="1" x14ac:dyDescent="0.25">
      <c r="A12" s="12">
        <v>0</v>
      </c>
      <c r="B12" s="12">
        <v>1</v>
      </c>
      <c r="C12" s="12">
        <v>0</v>
      </c>
      <c r="D12" s="12">
        <v>0</v>
      </c>
      <c r="E12" s="12">
        <v>1</v>
      </c>
      <c r="F12" s="10">
        <v>0</v>
      </c>
      <c r="G12" s="12">
        <v>0</v>
      </c>
      <c r="H12" s="34" t="str">
        <f>"0x"&amp;H11&amp;", 0x"&amp;I11&amp;", 0x"&amp;J11&amp;", 0x"&amp;K11&amp;", 0x"&amp;L11&amp;", 0x"&amp;M11&amp;", 0x"&amp;N11</f>
        <v>0x0, 0x3F, 0x25, 0x25, 0x1A, 0x0, 0x0</v>
      </c>
      <c r="I12" s="35"/>
      <c r="J12" s="35"/>
      <c r="K12" s="35"/>
      <c r="L12" s="35"/>
      <c r="M12" s="35"/>
      <c r="N12" s="35"/>
      <c r="O12" s="12">
        <v>0</v>
      </c>
      <c r="P12" s="12">
        <v>1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34" t="str">
        <f>"0x"&amp;V11&amp;", 0x"&amp;W11&amp;", 0x"&amp;X11&amp;", 0x"&amp;Y11&amp;", 0x"&amp;Z11&amp;", 0x"&amp;AA11&amp;", 0x"&amp;AB11</f>
        <v>0x0, 0x3E, 0x1, 0x1, 0x1, 0x0, 0x0</v>
      </c>
      <c r="W12" s="35"/>
      <c r="X12" s="35"/>
      <c r="Y12" s="35"/>
      <c r="Z12" s="35"/>
      <c r="AA12" s="35"/>
      <c r="AB12" s="35"/>
      <c r="AC12" s="12">
        <v>0</v>
      </c>
      <c r="AD12" s="12">
        <v>0</v>
      </c>
      <c r="AE12" s="12">
        <v>1</v>
      </c>
      <c r="AF12" s="12">
        <v>0</v>
      </c>
      <c r="AG12" s="12">
        <v>1</v>
      </c>
      <c r="AH12" s="10">
        <v>0</v>
      </c>
      <c r="AI12" s="12">
        <v>0</v>
      </c>
      <c r="AJ12" s="34" t="str">
        <f>"0x"&amp;AJ11&amp;", 0x"&amp;AK11&amp;", 0x"&amp;AL11&amp;", 0x"&amp;AM11&amp;", 0x"&amp;AN11&amp;", 0x"&amp;AO11&amp;", 0x"&amp;AP11</f>
        <v>0x0, 0x30, 0x1E, 0x11, 0x3F, 0x0, 0x0</v>
      </c>
      <c r="AK12" s="35"/>
      <c r="AL12" s="35"/>
      <c r="AM12" s="35"/>
      <c r="AN12" s="35"/>
      <c r="AO12" s="35"/>
      <c r="AP12" s="35"/>
      <c r="AQ12" s="12">
        <v>0</v>
      </c>
      <c r="AR12" s="12">
        <v>1</v>
      </c>
      <c r="AS12" s="12">
        <v>0</v>
      </c>
      <c r="AT12" s="12">
        <v>0</v>
      </c>
      <c r="AU12" s="12">
        <v>1</v>
      </c>
      <c r="AV12" s="12">
        <v>0</v>
      </c>
      <c r="AW12" s="12">
        <v>0</v>
      </c>
      <c r="AX12" s="34" t="str">
        <f>"0x"&amp;AX11&amp;", 0x"&amp;AY11&amp;", 0x"&amp;AZ11&amp;", 0x"&amp;BA11&amp;", 0x"&amp;BB11&amp;", 0x"&amp;BC11&amp;", 0x"&amp;BD11</f>
        <v>0x0, 0x1E, 0x29, 0x29, 0x26, 0x0, 0x0</v>
      </c>
      <c r="AY12" s="35"/>
      <c r="AZ12" s="35"/>
      <c r="BA12" s="35"/>
      <c r="BB12" s="35"/>
      <c r="BC12" s="35"/>
      <c r="BD12" s="35"/>
      <c r="BG12" s="24">
        <v>0</v>
      </c>
      <c r="BH12" s="12">
        <v>1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34" t="str">
        <f>"0x"&amp;BN11&amp;", 0x"&amp;BO11&amp;", 0x"&amp;BP11&amp;", 0x"&amp;BQ11&amp;", 0x"&amp;BR11&amp;", 0x"&amp;BS11&amp;", 0x"&amp;BT11</f>
        <v>0x0, 0x1E, 0x21, 0x21, 0x21, 0x0, 0x0</v>
      </c>
      <c r="BO12" s="35"/>
      <c r="BP12" s="35"/>
      <c r="BQ12" s="35"/>
      <c r="BR12" s="35"/>
      <c r="BS12" s="35"/>
      <c r="BT12" s="35"/>
      <c r="BU12" s="12">
        <v>0</v>
      </c>
      <c r="BV12" s="12">
        <v>1</v>
      </c>
      <c r="BW12" s="12">
        <v>0</v>
      </c>
      <c r="BX12" s="12">
        <v>0</v>
      </c>
      <c r="BY12" s="12">
        <v>1</v>
      </c>
      <c r="BZ12" s="10">
        <v>0</v>
      </c>
      <c r="CA12" s="12">
        <v>0</v>
      </c>
      <c r="CB12" s="34" t="str">
        <f>"0x"&amp;CB11&amp;", 0x"&amp;CC11&amp;", 0x"&amp;CD11&amp;", 0x"&amp;CE11&amp;", 0x"&amp;CF11&amp;", 0x"&amp;CG11&amp;", 0x"&amp;CH11</f>
        <v>0x0, 0x3F, 0x21, 0x21, 0x1E, 0x0, 0x0</v>
      </c>
      <c r="CC12" s="35"/>
      <c r="CD12" s="35"/>
      <c r="CE12" s="35"/>
      <c r="CF12" s="35"/>
      <c r="CG12" s="35"/>
      <c r="CH12" s="35"/>
    </row>
    <row r="13" spans="1:86" ht="15" customHeight="1" x14ac:dyDescent="0.25">
      <c r="A13" s="12">
        <v>0</v>
      </c>
      <c r="B13" s="12">
        <v>1</v>
      </c>
      <c r="C13" s="12">
        <v>1</v>
      </c>
      <c r="D13" s="12">
        <v>1</v>
      </c>
      <c r="E13" s="12">
        <v>0</v>
      </c>
      <c r="F13" s="10">
        <v>0</v>
      </c>
      <c r="G13" s="12">
        <v>0</v>
      </c>
      <c r="H13" s="34"/>
      <c r="I13" s="35"/>
      <c r="J13" s="35"/>
      <c r="K13" s="35"/>
      <c r="L13" s="35"/>
      <c r="M13" s="35"/>
      <c r="N13" s="35"/>
      <c r="O13" s="12">
        <v>0</v>
      </c>
      <c r="P13" s="12">
        <v>1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34"/>
      <c r="W13" s="35"/>
      <c r="X13" s="35"/>
      <c r="Y13" s="35"/>
      <c r="Z13" s="35"/>
      <c r="AA13" s="35"/>
      <c r="AB13" s="35"/>
      <c r="AC13" s="12">
        <v>0</v>
      </c>
      <c r="AD13" s="12">
        <v>0</v>
      </c>
      <c r="AE13" s="12">
        <v>1</v>
      </c>
      <c r="AF13" s="12">
        <v>0</v>
      </c>
      <c r="AG13" s="12">
        <v>1</v>
      </c>
      <c r="AH13" s="10">
        <v>0</v>
      </c>
      <c r="AI13" s="12">
        <v>0</v>
      </c>
      <c r="AJ13" s="34"/>
      <c r="AK13" s="35"/>
      <c r="AL13" s="35"/>
      <c r="AM13" s="35"/>
      <c r="AN13" s="35"/>
      <c r="AO13" s="35"/>
      <c r="AP13" s="35"/>
      <c r="AQ13" s="12">
        <v>0</v>
      </c>
      <c r="AR13" s="12">
        <v>1</v>
      </c>
      <c r="AS13" s="12">
        <v>0</v>
      </c>
      <c r="AT13" s="12">
        <v>0</v>
      </c>
      <c r="AU13" s="12">
        <v>1</v>
      </c>
      <c r="AV13" s="12">
        <v>0</v>
      </c>
      <c r="AW13" s="12">
        <v>0</v>
      </c>
      <c r="AX13" s="34"/>
      <c r="AY13" s="35"/>
      <c r="AZ13" s="35"/>
      <c r="BA13" s="35"/>
      <c r="BB13" s="35"/>
      <c r="BC13" s="35"/>
      <c r="BD13" s="35"/>
      <c r="BG13" s="24">
        <v>0</v>
      </c>
      <c r="BH13" s="12">
        <v>1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34"/>
      <c r="BO13" s="35"/>
      <c r="BP13" s="35"/>
      <c r="BQ13" s="35"/>
      <c r="BR13" s="35"/>
      <c r="BS13" s="35"/>
      <c r="BT13" s="35"/>
      <c r="BU13" s="12">
        <v>0</v>
      </c>
      <c r="BV13" s="12">
        <v>1</v>
      </c>
      <c r="BW13" s="12">
        <v>0</v>
      </c>
      <c r="BX13" s="12">
        <v>0</v>
      </c>
      <c r="BY13" s="12">
        <v>1</v>
      </c>
      <c r="BZ13" s="10">
        <v>0</v>
      </c>
      <c r="CA13" s="12">
        <v>0</v>
      </c>
      <c r="CB13" s="34"/>
      <c r="CC13" s="35"/>
      <c r="CD13" s="35"/>
      <c r="CE13" s="35"/>
      <c r="CF13" s="35"/>
      <c r="CG13" s="35"/>
      <c r="CH13" s="35"/>
    </row>
    <row r="14" spans="1:86" x14ac:dyDescent="0.25">
      <c r="A14" s="12">
        <v>0</v>
      </c>
      <c r="B14" s="12">
        <v>1</v>
      </c>
      <c r="C14" s="12">
        <v>0</v>
      </c>
      <c r="D14" s="12">
        <v>0</v>
      </c>
      <c r="E14" s="12">
        <v>1</v>
      </c>
      <c r="F14" s="10">
        <v>0</v>
      </c>
      <c r="G14" s="12">
        <v>0</v>
      </c>
      <c r="H14" s="36" t="s">
        <v>3</v>
      </c>
      <c r="I14" s="37"/>
      <c r="J14" s="37"/>
      <c r="K14" s="37"/>
      <c r="L14" s="37"/>
      <c r="M14" s="37"/>
      <c r="N14" s="37"/>
      <c r="O14" s="12">
        <v>0</v>
      </c>
      <c r="P14" s="12">
        <v>1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36" t="s">
        <v>4</v>
      </c>
      <c r="W14" s="37"/>
      <c r="X14" s="37"/>
      <c r="Y14" s="37"/>
      <c r="Z14" s="37"/>
      <c r="AA14" s="37"/>
      <c r="AB14" s="37"/>
      <c r="AC14" s="12">
        <v>0</v>
      </c>
      <c r="AD14" s="12">
        <v>0</v>
      </c>
      <c r="AE14" s="12">
        <v>1</v>
      </c>
      <c r="AF14" s="12">
        <v>0</v>
      </c>
      <c r="AG14" s="12">
        <v>1</v>
      </c>
      <c r="AH14" s="10">
        <v>0</v>
      </c>
      <c r="AI14" s="12">
        <v>0</v>
      </c>
      <c r="AJ14" s="36" t="s">
        <v>5</v>
      </c>
      <c r="AK14" s="37"/>
      <c r="AL14" s="37"/>
      <c r="AM14" s="37"/>
      <c r="AN14" s="37"/>
      <c r="AO14" s="37"/>
      <c r="AP14" s="37"/>
      <c r="AQ14" s="12">
        <v>0</v>
      </c>
      <c r="AR14" s="12">
        <v>1</v>
      </c>
      <c r="AS14" s="12">
        <v>1</v>
      </c>
      <c r="AT14" s="12">
        <v>1</v>
      </c>
      <c r="AU14" s="12">
        <v>0</v>
      </c>
      <c r="AV14" s="12">
        <v>0</v>
      </c>
      <c r="AW14" s="12">
        <v>0</v>
      </c>
      <c r="AX14" s="36" t="s">
        <v>6</v>
      </c>
      <c r="AY14" s="37"/>
      <c r="AZ14" s="37"/>
      <c r="BA14" s="37"/>
      <c r="BB14" s="37"/>
      <c r="BC14" s="37"/>
      <c r="BD14" s="37"/>
      <c r="BG14" s="24">
        <v>0</v>
      </c>
      <c r="BH14" s="12">
        <v>1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36" t="s">
        <v>55</v>
      </c>
      <c r="BO14" s="37"/>
      <c r="BP14" s="37"/>
      <c r="BQ14" s="37"/>
      <c r="BR14" s="37"/>
      <c r="BS14" s="37"/>
      <c r="BT14" s="37"/>
      <c r="BU14" s="12">
        <v>0</v>
      </c>
      <c r="BV14" s="12">
        <v>1</v>
      </c>
      <c r="BW14" s="12">
        <v>0</v>
      </c>
      <c r="BX14" s="12">
        <v>0</v>
      </c>
      <c r="BY14" s="12">
        <v>1</v>
      </c>
      <c r="BZ14" s="10">
        <v>0</v>
      </c>
      <c r="CA14" s="12">
        <v>0</v>
      </c>
      <c r="CB14" s="36" t="s">
        <v>54</v>
      </c>
      <c r="CC14" s="37"/>
      <c r="CD14" s="37"/>
      <c r="CE14" s="37"/>
      <c r="CF14" s="37"/>
      <c r="CG14" s="37"/>
      <c r="CH14" s="37"/>
    </row>
    <row r="15" spans="1:86" ht="15" customHeight="1" x14ac:dyDescent="0.25">
      <c r="A15" s="12">
        <v>0</v>
      </c>
      <c r="B15" s="12">
        <v>1</v>
      </c>
      <c r="C15" s="12">
        <v>0</v>
      </c>
      <c r="D15" s="12">
        <v>0</v>
      </c>
      <c r="E15" s="12">
        <v>1</v>
      </c>
      <c r="F15" s="10">
        <v>0</v>
      </c>
      <c r="G15" s="12">
        <v>0</v>
      </c>
      <c r="H15" s="30" t="str">
        <f>"{{"&amp;H12&amp;"}"&amp;", "&amp;$H$1&amp;"},  //"&amp;H14&amp;":"&amp;L10&amp;":"&amp;N10</f>
        <v>{{0x0, 0x3F, 0x25, 0x25, 0x1A, 0x0, 0x0}, 7},  //В:208:146</v>
      </c>
      <c r="I15" s="35"/>
      <c r="J15" s="35"/>
      <c r="K15" s="35"/>
      <c r="L15" s="35"/>
      <c r="M15" s="35"/>
      <c r="N15" s="35"/>
      <c r="O15" s="12">
        <v>0</v>
      </c>
      <c r="P15" s="12">
        <v>1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30" t="str">
        <f>"{{"&amp;V12&amp;"}"&amp;", "&amp;$H$1&amp;"},  //"&amp;V14&amp;":"&amp;Z10&amp;":"&amp;AB10</f>
        <v>{{0x0, 0x3E, 0x1, 0x1, 0x1, 0x0, 0x0}, 7},  //Г:208:147</v>
      </c>
      <c r="W15" s="35"/>
      <c r="X15" s="35"/>
      <c r="Y15" s="35"/>
      <c r="Z15" s="35"/>
      <c r="AA15" s="35"/>
      <c r="AB15" s="35"/>
      <c r="AC15" s="12">
        <v>0</v>
      </c>
      <c r="AD15" s="12">
        <v>1</v>
      </c>
      <c r="AE15" s="12">
        <v>1</v>
      </c>
      <c r="AF15" s="12">
        <v>1</v>
      </c>
      <c r="AG15" s="12">
        <v>1</v>
      </c>
      <c r="AH15" s="10">
        <v>0</v>
      </c>
      <c r="AI15" s="12">
        <v>0</v>
      </c>
      <c r="AJ15" s="30" t="str">
        <f>"{{"&amp;AJ12&amp;"}"&amp;", "&amp;$H$1&amp;"},  //"&amp;AJ14&amp;":"&amp;AN10&amp;":"&amp;AP10</f>
        <v>{{0x0, 0x30, 0x1E, 0x11, 0x3F, 0x0, 0x0}, 7},  //Д:208:148</v>
      </c>
      <c r="AK15" s="35"/>
      <c r="AL15" s="35"/>
      <c r="AM15" s="35"/>
      <c r="AN15" s="35"/>
      <c r="AO15" s="35"/>
      <c r="AP15" s="35"/>
      <c r="AQ15" s="12">
        <v>0</v>
      </c>
      <c r="AR15" s="12">
        <v>1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30" t="str">
        <f>"{{"&amp;AX12&amp;"}"&amp;", "&amp;$H$1&amp;"},  //"&amp;AX14&amp;":"&amp;BB10&amp;":"&amp;BD10</f>
        <v>{{0x0, 0x1E, 0x29, 0x29, 0x26, 0x0, 0x0}, 7},  //Е:208:149</v>
      </c>
      <c r="AY15" s="35"/>
      <c r="AZ15" s="35"/>
      <c r="BA15" s="35"/>
      <c r="BB15" s="35"/>
      <c r="BC15" s="35"/>
      <c r="BD15" s="35"/>
      <c r="BG15" s="24">
        <v>0</v>
      </c>
      <c r="BH15" s="12">
        <v>1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30" t="str">
        <f>"{{"&amp;BN12&amp;"}"&amp;", "&amp;$H$1&amp;"},  //"&amp;BN14&amp;":"&amp;BR10&amp;":"&amp;BT10</f>
        <v>{{0x0, 0x1E, 0x21, 0x21, 0x21, 0x0, 0x0}, 7},  //C:0:67</v>
      </c>
      <c r="BO15" s="35"/>
      <c r="BP15" s="35"/>
      <c r="BQ15" s="35"/>
      <c r="BR15" s="35"/>
      <c r="BS15" s="35"/>
      <c r="BT15" s="35"/>
      <c r="BU15" s="12">
        <v>0</v>
      </c>
      <c r="BV15" s="12">
        <v>1</v>
      </c>
      <c r="BW15" s="12">
        <v>0</v>
      </c>
      <c r="BX15" s="12">
        <v>0</v>
      </c>
      <c r="BY15" s="12">
        <v>1</v>
      </c>
      <c r="BZ15" s="10">
        <v>0</v>
      </c>
      <c r="CA15" s="12">
        <v>0</v>
      </c>
      <c r="CB15" s="30" t="str">
        <f>"{{"&amp;CB12&amp;"}"&amp;", "&amp;$H$1&amp;"},  //"&amp;CB14&amp;":"&amp;CF10&amp;":"&amp;CH10</f>
        <v>{{0x0, 0x3F, 0x21, 0x21, 0x1E, 0x0, 0x0}, 7},  //D:0:68</v>
      </c>
      <c r="CC15" s="35"/>
      <c r="CD15" s="35"/>
      <c r="CE15" s="35"/>
      <c r="CF15" s="35"/>
      <c r="CG15" s="35"/>
      <c r="CH15" s="35"/>
    </row>
    <row r="16" spans="1:86" ht="15" customHeight="1" x14ac:dyDescent="0.25">
      <c r="A16" s="12">
        <v>0</v>
      </c>
      <c r="B16" s="12">
        <v>1</v>
      </c>
      <c r="C16" s="12">
        <v>1</v>
      </c>
      <c r="D16" s="12">
        <v>1</v>
      </c>
      <c r="E16" s="12">
        <v>0</v>
      </c>
      <c r="F16" s="10">
        <v>0</v>
      </c>
      <c r="G16" s="12">
        <v>0</v>
      </c>
      <c r="H16" s="30"/>
      <c r="I16" s="35"/>
      <c r="J16" s="35"/>
      <c r="K16" s="35"/>
      <c r="L16" s="35"/>
      <c r="M16" s="35"/>
      <c r="N16" s="35"/>
      <c r="O16" s="12">
        <v>0</v>
      </c>
      <c r="P16" s="12">
        <v>1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30"/>
      <c r="W16" s="35"/>
      <c r="X16" s="35"/>
      <c r="Y16" s="35"/>
      <c r="Z16" s="35"/>
      <c r="AA16" s="35"/>
      <c r="AB16" s="35"/>
      <c r="AC16" s="12">
        <v>0</v>
      </c>
      <c r="AD16" s="12">
        <v>1</v>
      </c>
      <c r="AE16" s="12">
        <v>0</v>
      </c>
      <c r="AF16" s="12">
        <v>0</v>
      </c>
      <c r="AG16" s="12">
        <v>1</v>
      </c>
      <c r="AH16" s="10">
        <v>0</v>
      </c>
      <c r="AI16" s="12">
        <v>0</v>
      </c>
      <c r="AJ16" s="30"/>
      <c r="AK16" s="35"/>
      <c r="AL16" s="35"/>
      <c r="AM16" s="35"/>
      <c r="AN16" s="35"/>
      <c r="AO16" s="35"/>
      <c r="AP16" s="35"/>
      <c r="AQ16" s="12">
        <v>0</v>
      </c>
      <c r="AR16" s="12">
        <v>0</v>
      </c>
      <c r="AS16" s="12">
        <v>1</v>
      </c>
      <c r="AT16" s="12">
        <v>1</v>
      </c>
      <c r="AU16" s="12">
        <v>1</v>
      </c>
      <c r="AV16" s="12">
        <v>0</v>
      </c>
      <c r="AW16" s="12">
        <v>0</v>
      </c>
      <c r="AX16" s="30"/>
      <c r="AY16" s="35"/>
      <c r="AZ16" s="35"/>
      <c r="BA16" s="35"/>
      <c r="BB16" s="35"/>
      <c r="BC16" s="35"/>
      <c r="BD16" s="35"/>
      <c r="BG16" s="24">
        <v>0</v>
      </c>
      <c r="BH16" s="12">
        <v>0</v>
      </c>
      <c r="BI16" s="12">
        <v>1</v>
      </c>
      <c r="BJ16" s="12">
        <v>1</v>
      </c>
      <c r="BK16" s="12">
        <v>1</v>
      </c>
      <c r="BL16" s="12">
        <v>0</v>
      </c>
      <c r="BM16" s="12">
        <v>0</v>
      </c>
      <c r="BN16" s="30"/>
      <c r="BO16" s="35"/>
      <c r="BP16" s="35"/>
      <c r="BQ16" s="35"/>
      <c r="BR16" s="35"/>
      <c r="BS16" s="35"/>
      <c r="BT16" s="35"/>
      <c r="BU16" s="12">
        <v>0</v>
      </c>
      <c r="BV16" s="12">
        <v>1</v>
      </c>
      <c r="BW16" s="12">
        <v>1</v>
      </c>
      <c r="BX16" s="12">
        <v>1</v>
      </c>
      <c r="BY16" s="12">
        <v>0</v>
      </c>
      <c r="BZ16" s="10">
        <v>0</v>
      </c>
      <c r="CA16" s="12">
        <v>0</v>
      </c>
      <c r="CB16" s="30"/>
      <c r="CC16" s="35"/>
      <c r="CD16" s="35"/>
      <c r="CE16" s="35"/>
      <c r="CF16" s="35"/>
      <c r="CG16" s="35"/>
      <c r="CH16" s="35"/>
    </row>
    <row r="17" spans="1:86" x14ac:dyDescent="0.25">
      <c r="A17" s="12">
        <v>0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36" t="s">
        <v>48</v>
      </c>
      <c r="I17" s="37"/>
      <c r="J17" s="37"/>
      <c r="K17" s="37"/>
      <c r="L17" s="38">
        <v>208</v>
      </c>
      <c r="M17" s="38"/>
      <c r="N17" s="19">
        <v>178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36" t="s">
        <v>48</v>
      </c>
      <c r="W17" s="37"/>
      <c r="X17" s="37"/>
      <c r="Y17" s="37"/>
      <c r="Z17" s="38">
        <v>208</v>
      </c>
      <c r="AA17" s="38"/>
      <c r="AB17" s="19">
        <v>179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36" t="s">
        <v>48</v>
      </c>
      <c r="AK17" s="37"/>
      <c r="AL17" s="37"/>
      <c r="AM17" s="37"/>
      <c r="AN17" s="38">
        <v>208</v>
      </c>
      <c r="AO17" s="38"/>
      <c r="AP17" s="19">
        <v>180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36" t="s">
        <v>48</v>
      </c>
      <c r="AY17" s="37"/>
      <c r="AZ17" s="37"/>
      <c r="BA17" s="37"/>
      <c r="BB17" s="38">
        <v>208</v>
      </c>
      <c r="BC17" s="38"/>
      <c r="BD17" s="19">
        <v>181</v>
      </c>
      <c r="BG17" s="24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36" t="s">
        <v>48</v>
      </c>
      <c r="BO17" s="37"/>
      <c r="BP17" s="37"/>
      <c r="BQ17" s="37"/>
      <c r="BR17" s="38">
        <v>0</v>
      </c>
      <c r="BS17" s="38"/>
      <c r="BT17" s="19">
        <v>99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0">
        <v>0</v>
      </c>
      <c r="CA17" s="12">
        <v>0</v>
      </c>
      <c r="CB17" s="36" t="s">
        <v>48</v>
      </c>
      <c r="CC17" s="37"/>
      <c r="CD17" s="37"/>
      <c r="CE17" s="37"/>
      <c r="CF17" s="38">
        <v>0</v>
      </c>
      <c r="CG17" s="38"/>
      <c r="CH17" s="19">
        <v>100</v>
      </c>
    </row>
    <row r="18" spans="1:86" s="4" customFormat="1" x14ac:dyDescent="0.25">
      <c r="A18" s="9">
        <v>1</v>
      </c>
      <c r="B18" s="9">
        <v>2</v>
      </c>
      <c r="C18" s="9">
        <v>3</v>
      </c>
      <c r="D18" s="9">
        <v>4</v>
      </c>
      <c r="E18" s="9">
        <v>5</v>
      </c>
      <c r="F18" s="9">
        <v>6</v>
      </c>
      <c r="G18" s="9">
        <v>7</v>
      </c>
      <c r="H18" s="39" t="s">
        <v>0</v>
      </c>
      <c r="I18" s="39"/>
      <c r="J18" s="39"/>
      <c r="K18" s="39"/>
      <c r="L18" s="40">
        <v>208</v>
      </c>
      <c r="M18" s="40"/>
      <c r="N18" s="15">
        <v>150</v>
      </c>
      <c r="O18" s="9">
        <v>1</v>
      </c>
      <c r="P18" s="9">
        <v>2</v>
      </c>
      <c r="Q18" s="9">
        <v>3</v>
      </c>
      <c r="R18" s="9">
        <v>4</v>
      </c>
      <c r="S18" s="9">
        <v>5</v>
      </c>
      <c r="T18" s="9">
        <v>6</v>
      </c>
      <c r="U18" s="9">
        <v>7</v>
      </c>
      <c r="V18" s="39" t="s">
        <v>0</v>
      </c>
      <c r="W18" s="39"/>
      <c r="X18" s="39"/>
      <c r="Y18" s="39"/>
      <c r="Z18" s="40">
        <v>208</v>
      </c>
      <c r="AA18" s="40"/>
      <c r="AB18" s="15">
        <v>151</v>
      </c>
      <c r="AC18" s="9">
        <v>1</v>
      </c>
      <c r="AD18" s="9">
        <v>2</v>
      </c>
      <c r="AE18" s="9">
        <v>3</v>
      </c>
      <c r="AF18" s="9">
        <v>4</v>
      </c>
      <c r="AG18" s="9">
        <v>5</v>
      </c>
      <c r="AH18" s="9">
        <v>6</v>
      </c>
      <c r="AI18" s="9">
        <v>7</v>
      </c>
      <c r="AJ18" s="39" t="s">
        <v>0</v>
      </c>
      <c r="AK18" s="39"/>
      <c r="AL18" s="39"/>
      <c r="AM18" s="39"/>
      <c r="AN18" s="40">
        <v>208</v>
      </c>
      <c r="AO18" s="40"/>
      <c r="AP18" s="15">
        <v>152</v>
      </c>
      <c r="AQ18" s="9">
        <v>1</v>
      </c>
      <c r="AR18" s="9">
        <v>2</v>
      </c>
      <c r="AS18" s="9">
        <v>3</v>
      </c>
      <c r="AT18" s="9">
        <v>4</v>
      </c>
      <c r="AU18" s="9">
        <v>5</v>
      </c>
      <c r="AV18" s="9">
        <v>6</v>
      </c>
      <c r="AW18" s="9">
        <v>7</v>
      </c>
      <c r="AX18" s="39" t="s">
        <v>0</v>
      </c>
      <c r="AY18" s="39"/>
      <c r="AZ18" s="39"/>
      <c r="BA18" s="39"/>
      <c r="BB18" s="40">
        <v>208</v>
      </c>
      <c r="BC18" s="40"/>
      <c r="BD18" s="15">
        <v>153</v>
      </c>
      <c r="BE18" s="20"/>
      <c r="BF18" s="20"/>
      <c r="BG18" s="9">
        <v>1</v>
      </c>
      <c r="BH18" s="9">
        <v>2</v>
      </c>
      <c r="BI18" s="9">
        <v>3</v>
      </c>
      <c r="BJ18" s="9">
        <v>4</v>
      </c>
      <c r="BK18" s="9">
        <v>5</v>
      </c>
      <c r="BL18" s="9">
        <v>6</v>
      </c>
      <c r="BM18" s="9">
        <v>7</v>
      </c>
      <c r="BN18" s="39" t="s">
        <v>0</v>
      </c>
      <c r="BO18" s="39"/>
      <c r="BP18" s="39"/>
      <c r="BQ18" s="39"/>
      <c r="BR18" s="40">
        <v>0</v>
      </c>
      <c r="BS18" s="40"/>
      <c r="BT18" s="15">
        <v>69</v>
      </c>
      <c r="BU18" s="9">
        <v>1</v>
      </c>
      <c r="BV18" s="9">
        <v>2</v>
      </c>
      <c r="BW18" s="9">
        <v>3</v>
      </c>
      <c r="BX18" s="9">
        <v>4</v>
      </c>
      <c r="BY18" s="9">
        <v>5</v>
      </c>
      <c r="BZ18" s="9">
        <v>6</v>
      </c>
      <c r="CA18" s="9">
        <v>7</v>
      </c>
      <c r="CB18" s="39" t="s">
        <v>0</v>
      </c>
      <c r="CC18" s="39"/>
      <c r="CD18" s="39"/>
      <c r="CE18" s="39"/>
      <c r="CF18" s="40">
        <v>0</v>
      </c>
      <c r="CG18" s="40"/>
      <c r="CH18" s="15">
        <v>70</v>
      </c>
    </row>
    <row r="19" spans="1:86" x14ac:dyDescent="0.25">
      <c r="A19" s="10">
        <v>0</v>
      </c>
      <c r="B19" s="10">
        <v>1</v>
      </c>
      <c r="C19" s="10">
        <v>0</v>
      </c>
      <c r="D19" s="10">
        <v>1</v>
      </c>
      <c r="E19" s="10">
        <v>0</v>
      </c>
      <c r="F19" s="10">
        <v>1</v>
      </c>
      <c r="G19" s="10">
        <v>0</v>
      </c>
      <c r="H19" s="11" t="str">
        <f>BIN2HEX(A25&amp;A24&amp;A23&amp;A22&amp;A21&amp;A20&amp;A19)</f>
        <v>0</v>
      </c>
      <c r="I19" s="11" t="str">
        <f>BIN2HEX(B25&amp;B24&amp;B23&amp;B22&amp;B21&amp;B20&amp;B19)</f>
        <v>37</v>
      </c>
      <c r="J19" s="11" t="str">
        <f t="shared" ref="J19" si="63">BIN2HEX(C25&amp;C24&amp;C23&amp;C22&amp;C21&amp;C20&amp;C19)</f>
        <v>8</v>
      </c>
      <c r="K19" s="11" t="str">
        <f t="shared" ref="K19" si="64">BIN2HEX(D25&amp;D24&amp;D23&amp;D22&amp;D21&amp;D20&amp;D19)</f>
        <v>3F</v>
      </c>
      <c r="L19" s="11" t="str">
        <f t="shared" ref="L19" si="65">BIN2HEX(E25&amp;E24&amp;E23&amp;E22&amp;E21&amp;E20&amp;E19)</f>
        <v>8</v>
      </c>
      <c r="M19" s="11" t="str">
        <f t="shared" ref="M19" si="66">BIN2HEX(F25&amp;F24&amp;F23&amp;F22&amp;F21&amp;F20&amp;F19)</f>
        <v>37</v>
      </c>
      <c r="N19" s="11" t="str">
        <f t="shared" ref="N19" si="67">BIN2HEX(G25&amp;G24&amp;G23&amp;G22&amp;G21&amp;G20&amp;G19)</f>
        <v>0</v>
      </c>
      <c r="O19" s="10">
        <v>0</v>
      </c>
      <c r="P19" s="10">
        <v>1</v>
      </c>
      <c r="Q19" s="10">
        <v>1</v>
      </c>
      <c r="R19" s="10">
        <v>1</v>
      </c>
      <c r="S19" s="10">
        <v>0</v>
      </c>
      <c r="T19" s="10">
        <v>0</v>
      </c>
      <c r="U19" s="10">
        <v>0</v>
      </c>
      <c r="V19" s="11" t="str">
        <f>BIN2HEX(O25&amp;O24&amp;O23&amp;O22&amp;O21&amp;O20&amp;O19)</f>
        <v>0</v>
      </c>
      <c r="W19" s="11" t="str">
        <f>BIN2HEX(P25&amp;P24&amp;P23&amp;P22&amp;P21&amp;P20&amp;P19)</f>
        <v>25</v>
      </c>
      <c r="X19" s="11" t="str">
        <f t="shared" ref="X19" si="68">BIN2HEX(Q25&amp;Q24&amp;Q23&amp;Q22&amp;Q21&amp;Q20&amp;Q19)</f>
        <v>25</v>
      </c>
      <c r="Y19" s="11" t="str">
        <f t="shared" ref="Y19" si="69">BIN2HEX(R25&amp;R24&amp;R23&amp;R22&amp;R21&amp;R20&amp;R19)</f>
        <v>25</v>
      </c>
      <c r="Z19" s="11" t="str">
        <f t="shared" ref="Z19" si="70">BIN2HEX(S25&amp;S24&amp;S23&amp;S22&amp;S21&amp;S20&amp;S19)</f>
        <v>1A</v>
      </c>
      <c r="AA19" s="11" t="str">
        <f t="shared" ref="AA19" si="71">BIN2HEX(T25&amp;T24&amp;T23&amp;T22&amp;T21&amp;T20&amp;T19)</f>
        <v>0</v>
      </c>
      <c r="AB19" s="11" t="str">
        <f t="shared" ref="AB19" si="72">BIN2HEX(U25&amp;U24&amp;U23&amp;U22&amp;U21&amp;U20&amp;U19)</f>
        <v>0</v>
      </c>
      <c r="AC19" s="10">
        <v>0</v>
      </c>
      <c r="AD19" s="10">
        <v>1</v>
      </c>
      <c r="AE19" s="10">
        <v>0</v>
      </c>
      <c r="AF19" s="10">
        <v>0</v>
      </c>
      <c r="AG19" s="10">
        <v>1</v>
      </c>
      <c r="AH19" s="10">
        <v>0</v>
      </c>
      <c r="AI19" s="10">
        <v>0</v>
      </c>
      <c r="AJ19" s="11" t="str">
        <f>BIN2HEX(AC25&amp;AC24&amp;AC23&amp;AC22&amp;AC21&amp;AC20&amp;AC19)</f>
        <v>0</v>
      </c>
      <c r="AK19" s="11" t="str">
        <f>BIN2HEX(AD25&amp;AD24&amp;AD23&amp;AD22&amp;AD21&amp;AD20&amp;AD19)</f>
        <v>3F</v>
      </c>
      <c r="AL19" s="11" t="str">
        <f t="shared" ref="AL19" si="73">BIN2HEX(AE25&amp;AE24&amp;AE23&amp;AE22&amp;AE21&amp;AE20&amp;AE19)</f>
        <v>8</v>
      </c>
      <c r="AM19" s="11" t="str">
        <f t="shared" ref="AM19" si="74">BIN2HEX(AF25&amp;AF24&amp;AF23&amp;AF22&amp;AF21&amp;AF20&amp;AF19)</f>
        <v>4</v>
      </c>
      <c r="AN19" s="11" t="str">
        <f t="shared" ref="AN19" si="75">BIN2HEX(AG25&amp;AG24&amp;AG23&amp;AG22&amp;AG21&amp;AG20&amp;AG19)</f>
        <v>3F</v>
      </c>
      <c r="AO19" s="11" t="str">
        <f t="shared" ref="AO19" si="76">BIN2HEX(AH25&amp;AH24&amp;AH23&amp;AH22&amp;AH21&amp;AH20&amp;AH19)</f>
        <v>0</v>
      </c>
      <c r="AP19" s="11" t="str">
        <f t="shared" ref="AP19" si="77">BIN2HEX(AI25&amp;AI24&amp;AI23&amp;AI22&amp;AI21&amp;AI20&amp;AI19)</f>
        <v>0</v>
      </c>
      <c r="AQ19" s="10">
        <v>0</v>
      </c>
      <c r="AR19" s="10">
        <v>0</v>
      </c>
      <c r="AS19" s="10">
        <v>1</v>
      </c>
      <c r="AT19" s="10">
        <v>1</v>
      </c>
      <c r="AU19" s="10">
        <v>0</v>
      </c>
      <c r="AV19" s="10">
        <v>0</v>
      </c>
      <c r="AW19" s="10">
        <v>0</v>
      </c>
      <c r="AX19" s="11" t="str">
        <f>BIN2HEX(AQ25&amp;AQ24&amp;AQ23&amp;AQ22&amp;AQ21&amp;AQ20&amp;AQ19)</f>
        <v>0</v>
      </c>
      <c r="AY19" s="11" t="str">
        <f>BIN2HEX(AR25&amp;AR24&amp;AR23&amp;AR22&amp;AR21&amp;AR20&amp;AR19)</f>
        <v>3C</v>
      </c>
      <c r="AZ19" s="11" t="str">
        <f t="shared" ref="AZ19" si="78">BIN2HEX(AS25&amp;AS24&amp;AS23&amp;AS22&amp;AS21&amp;AS20&amp;AS19)</f>
        <v>11</v>
      </c>
      <c r="BA19" s="11" t="str">
        <f t="shared" ref="BA19" si="79">BIN2HEX(AT25&amp;AT24&amp;AT23&amp;AT22&amp;AT21&amp;AT20&amp;AT19)</f>
        <v>9</v>
      </c>
      <c r="BB19" s="11" t="str">
        <f t="shared" ref="BB19" si="80">BIN2HEX(AU25&amp;AU24&amp;AU23&amp;AU22&amp;AU21&amp;AU20&amp;AU19)</f>
        <v>3C</v>
      </c>
      <c r="BC19" s="11" t="str">
        <f t="shared" ref="BC19" si="81">BIN2HEX(AV25&amp;AV24&amp;AV23&amp;AV22&amp;AV21&amp;AV20&amp;AV19)</f>
        <v>0</v>
      </c>
      <c r="BD19" s="11" t="str">
        <f t="shared" ref="BD19" si="82">BIN2HEX(AW25&amp;AW24&amp;AW23&amp;AW22&amp;AW21&amp;AW20&amp;AW19)</f>
        <v>0</v>
      </c>
      <c r="BG19" s="10">
        <v>0</v>
      </c>
      <c r="BH19" s="10">
        <v>0</v>
      </c>
      <c r="BI19" s="10">
        <v>1</v>
      </c>
      <c r="BJ19" s="10">
        <v>1</v>
      </c>
      <c r="BK19" s="10">
        <v>0</v>
      </c>
      <c r="BL19" s="10">
        <v>0</v>
      </c>
      <c r="BM19" s="10">
        <v>0</v>
      </c>
      <c r="BN19" s="11" t="str">
        <f>BIN2HEX(BG25&amp;BG24&amp;BG23&amp;BG22&amp;BG21&amp;BG20&amp;BG19)</f>
        <v>0</v>
      </c>
      <c r="BO19" s="11" t="str">
        <f>BIN2HEX(BH25&amp;BH24&amp;BH23&amp;BH22&amp;BH21&amp;BH20&amp;BH19)</f>
        <v>1E</v>
      </c>
      <c r="BP19" s="11" t="str">
        <f t="shared" ref="BP19" si="83">BIN2HEX(BI25&amp;BI24&amp;BI23&amp;BI22&amp;BI21&amp;BI20&amp;BI19)</f>
        <v>29</v>
      </c>
      <c r="BQ19" s="11" t="str">
        <f t="shared" ref="BQ19" si="84">BIN2HEX(BJ25&amp;BJ24&amp;BJ23&amp;BJ22&amp;BJ21&amp;BJ20&amp;BJ19)</f>
        <v>29</v>
      </c>
      <c r="BR19" s="11" t="str">
        <f t="shared" ref="BR19" si="85">BIN2HEX(BK25&amp;BK24&amp;BK23&amp;BK22&amp;BK21&amp;BK20&amp;BK19)</f>
        <v>26</v>
      </c>
      <c r="BS19" s="11" t="str">
        <f t="shared" ref="BS19" si="86">BIN2HEX(BL25&amp;BL24&amp;BL23&amp;BL22&amp;BL21&amp;BL20&amp;BL19)</f>
        <v>0</v>
      </c>
      <c r="BT19" s="11" t="str">
        <f t="shared" ref="BT19" si="87">BIN2HEX(BM25&amp;BM24&amp;BM23&amp;BM22&amp;BM21&amp;BM20&amp;BM19)</f>
        <v>0</v>
      </c>
      <c r="BU19" s="10">
        <v>0</v>
      </c>
      <c r="BV19" s="10">
        <v>1</v>
      </c>
      <c r="BW19" s="10">
        <v>1</v>
      </c>
      <c r="BX19" s="10">
        <v>1</v>
      </c>
      <c r="BY19" s="10">
        <v>1</v>
      </c>
      <c r="BZ19" s="10">
        <v>0</v>
      </c>
      <c r="CA19" s="10">
        <v>0</v>
      </c>
      <c r="CB19" s="11" t="str">
        <f>BIN2HEX(BU25&amp;BU24&amp;BU23&amp;BU22&amp;BU21&amp;BU20&amp;BU19)</f>
        <v>0</v>
      </c>
      <c r="CC19" s="11" t="str">
        <f>BIN2HEX(BV25&amp;BV24&amp;BV23&amp;BV22&amp;BV21&amp;BV20&amp;BV19)</f>
        <v>3F</v>
      </c>
      <c r="CD19" s="11" t="str">
        <f t="shared" ref="CD19" si="88">BIN2HEX(BW25&amp;BW24&amp;BW23&amp;BW22&amp;BW21&amp;BW20&amp;BW19)</f>
        <v>5</v>
      </c>
      <c r="CE19" s="11" t="str">
        <f t="shared" ref="CE19" si="89">BIN2HEX(BX25&amp;BX24&amp;BX23&amp;BX22&amp;BX21&amp;BX20&amp;BX19)</f>
        <v>5</v>
      </c>
      <c r="CF19" s="11" t="str">
        <f t="shared" ref="CF19" si="90">BIN2HEX(BY25&amp;BY24&amp;BY23&amp;BY22&amp;BY21&amp;BY20&amp;BY19)</f>
        <v>5</v>
      </c>
      <c r="CG19" s="11" t="str">
        <f t="shared" ref="CG19" si="91">BIN2HEX(BZ25&amp;BZ24&amp;BZ23&amp;BZ22&amp;BZ21&amp;BZ20&amp;BZ19)</f>
        <v>0</v>
      </c>
      <c r="CH19" s="11" t="str">
        <f t="shared" ref="CH19" si="92">BIN2HEX(CA25&amp;CA24&amp;CA23&amp;CA22&amp;CA21&amp;CA20&amp;CA19)</f>
        <v>0</v>
      </c>
    </row>
    <row r="20" spans="1:86" ht="15" customHeight="1" x14ac:dyDescent="0.25">
      <c r="A20" s="12">
        <v>0</v>
      </c>
      <c r="B20" s="12">
        <v>1</v>
      </c>
      <c r="C20" s="12">
        <v>0</v>
      </c>
      <c r="D20" s="12">
        <v>1</v>
      </c>
      <c r="E20" s="12">
        <v>0</v>
      </c>
      <c r="F20" s="12">
        <v>1</v>
      </c>
      <c r="G20" s="12">
        <v>0</v>
      </c>
      <c r="H20" s="34" t="str">
        <f>"0x"&amp;H19&amp;", 0x"&amp;I19&amp;", 0x"&amp;J19&amp;", 0x"&amp;K19&amp;", 0x"&amp;L19&amp;", 0x"&amp;M19&amp;", 0x"&amp;N19</f>
        <v>0x0, 0x37, 0x8, 0x3F, 0x8, 0x37, 0x0</v>
      </c>
      <c r="I20" s="35"/>
      <c r="J20" s="35"/>
      <c r="K20" s="35"/>
      <c r="L20" s="35"/>
      <c r="M20" s="35"/>
      <c r="N20" s="35"/>
      <c r="O20" s="12">
        <v>0</v>
      </c>
      <c r="P20" s="12">
        <v>0</v>
      </c>
      <c r="Q20" s="12">
        <v>0</v>
      </c>
      <c r="R20" s="12">
        <v>0</v>
      </c>
      <c r="S20" s="12">
        <v>1</v>
      </c>
      <c r="T20" s="10">
        <v>0</v>
      </c>
      <c r="U20" s="12">
        <v>0</v>
      </c>
      <c r="V20" s="34" t="str">
        <f>"0x"&amp;V19&amp;", 0x"&amp;W19&amp;", 0x"&amp;X19&amp;", 0x"&amp;Y19&amp;", 0x"&amp;Z19&amp;", 0x"&amp;AA19&amp;", 0x"&amp;AB19</f>
        <v>0x0, 0x25, 0x25, 0x25, 0x1A, 0x0, 0x0</v>
      </c>
      <c r="W20" s="35"/>
      <c r="X20" s="35"/>
      <c r="Y20" s="35"/>
      <c r="Z20" s="35"/>
      <c r="AA20" s="35"/>
      <c r="AB20" s="35"/>
      <c r="AC20" s="12">
        <v>0</v>
      </c>
      <c r="AD20" s="12">
        <v>1</v>
      </c>
      <c r="AE20" s="12">
        <v>0</v>
      </c>
      <c r="AF20" s="12">
        <v>0</v>
      </c>
      <c r="AG20" s="12">
        <v>1</v>
      </c>
      <c r="AH20" s="10">
        <v>0</v>
      </c>
      <c r="AI20" s="12">
        <v>0</v>
      </c>
      <c r="AJ20" s="34" t="str">
        <f>"0x"&amp;AJ19&amp;", 0x"&amp;AK19&amp;", 0x"&amp;AL19&amp;", 0x"&amp;AM19&amp;", 0x"&amp;AN19&amp;", 0x"&amp;AO19&amp;", 0x"&amp;AP19</f>
        <v>0x0, 0x3F, 0x8, 0x4, 0x3F, 0x0, 0x0</v>
      </c>
      <c r="AK20" s="35"/>
      <c r="AL20" s="35"/>
      <c r="AM20" s="35"/>
      <c r="AN20" s="35"/>
      <c r="AO20" s="35"/>
      <c r="AP20" s="35"/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34" t="str">
        <f>"0x"&amp;AX19&amp;", 0x"&amp;AY19&amp;", 0x"&amp;AZ19&amp;", 0x"&amp;BA19&amp;", 0x"&amp;BB19&amp;", 0x"&amp;BC19&amp;", 0x"&amp;BD19</f>
        <v>0x0, 0x3C, 0x11, 0x9, 0x3C, 0x0, 0x0</v>
      </c>
      <c r="AY20" s="35"/>
      <c r="AZ20" s="35"/>
      <c r="BA20" s="35"/>
      <c r="BB20" s="35"/>
      <c r="BC20" s="35"/>
      <c r="BD20" s="35"/>
      <c r="BG20" s="12">
        <v>0</v>
      </c>
      <c r="BH20" s="12">
        <v>1</v>
      </c>
      <c r="BI20" s="12">
        <v>0</v>
      </c>
      <c r="BJ20" s="12">
        <v>0</v>
      </c>
      <c r="BK20" s="12">
        <v>1</v>
      </c>
      <c r="BL20" s="12">
        <v>0</v>
      </c>
      <c r="BM20" s="12">
        <v>0</v>
      </c>
      <c r="BN20" s="34" t="str">
        <f>"0x"&amp;BN19&amp;", 0x"&amp;BO19&amp;", 0x"&amp;BP19&amp;", 0x"&amp;BQ19&amp;", 0x"&amp;BR19&amp;", 0x"&amp;BS19&amp;", 0x"&amp;BT19</f>
        <v>0x0, 0x1E, 0x29, 0x29, 0x26, 0x0, 0x0</v>
      </c>
      <c r="BO20" s="35"/>
      <c r="BP20" s="35"/>
      <c r="BQ20" s="35"/>
      <c r="BR20" s="35"/>
      <c r="BS20" s="35"/>
      <c r="BT20" s="35"/>
      <c r="BU20" s="12">
        <v>0</v>
      </c>
      <c r="BV20" s="12">
        <v>1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34" t="str">
        <f>"0x"&amp;CB19&amp;", 0x"&amp;CC19&amp;", 0x"&amp;CD19&amp;", 0x"&amp;CE19&amp;", 0x"&amp;CF19&amp;", 0x"&amp;CG19&amp;", 0x"&amp;CH19</f>
        <v>0x0, 0x3F, 0x5, 0x5, 0x5, 0x0, 0x0</v>
      </c>
      <c r="CC20" s="35"/>
      <c r="CD20" s="35"/>
      <c r="CE20" s="35"/>
      <c r="CF20" s="35"/>
      <c r="CG20" s="35"/>
      <c r="CH20" s="35"/>
    </row>
    <row r="21" spans="1:86" x14ac:dyDescent="0.25">
      <c r="A21" s="12">
        <v>0</v>
      </c>
      <c r="B21" s="12">
        <v>1</v>
      </c>
      <c r="C21" s="12">
        <v>0</v>
      </c>
      <c r="D21" s="12">
        <v>1</v>
      </c>
      <c r="E21" s="12">
        <v>0</v>
      </c>
      <c r="F21" s="12">
        <v>1</v>
      </c>
      <c r="G21" s="12">
        <v>0</v>
      </c>
      <c r="H21" s="34"/>
      <c r="I21" s="35"/>
      <c r="J21" s="35"/>
      <c r="K21" s="35"/>
      <c r="L21" s="35"/>
      <c r="M21" s="35"/>
      <c r="N21" s="35"/>
      <c r="O21" s="12">
        <v>0</v>
      </c>
      <c r="P21" s="12">
        <v>1</v>
      </c>
      <c r="Q21" s="12">
        <v>1</v>
      </c>
      <c r="R21" s="12">
        <v>1</v>
      </c>
      <c r="S21" s="12">
        <v>0</v>
      </c>
      <c r="T21" s="10">
        <v>0</v>
      </c>
      <c r="U21" s="12">
        <v>0</v>
      </c>
      <c r="V21" s="34"/>
      <c r="W21" s="35"/>
      <c r="X21" s="35"/>
      <c r="Y21" s="35"/>
      <c r="Z21" s="35"/>
      <c r="AA21" s="35"/>
      <c r="AB21" s="35"/>
      <c r="AC21" s="12">
        <v>0</v>
      </c>
      <c r="AD21" s="12">
        <v>1</v>
      </c>
      <c r="AE21" s="12">
        <v>0</v>
      </c>
      <c r="AF21" s="12">
        <v>1</v>
      </c>
      <c r="AG21" s="12">
        <v>1</v>
      </c>
      <c r="AH21" s="10">
        <v>0</v>
      </c>
      <c r="AI21" s="12">
        <v>0</v>
      </c>
      <c r="AJ21" s="34"/>
      <c r="AK21" s="35"/>
      <c r="AL21" s="35"/>
      <c r="AM21" s="35"/>
      <c r="AN21" s="35"/>
      <c r="AO21" s="35"/>
      <c r="AP21" s="35"/>
      <c r="AQ21" s="12">
        <v>0</v>
      </c>
      <c r="AR21" s="12">
        <v>1</v>
      </c>
      <c r="AS21" s="12">
        <v>0</v>
      </c>
      <c r="AT21" s="12">
        <v>0</v>
      </c>
      <c r="AU21" s="12">
        <v>1</v>
      </c>
      <c r="AV21" s="12">
        <v>0</v>
      </c>
      <c r="AW21" s="12">
        <v>0</v>
      </c>
      <c r="AX21" s="34"/>
      <c r="AY21" s="35"/>
      <c r="AZ21" s="35"/>
      <c r="BA21" s="35"/>
      <c r="BB21" s="35"/>
      <c r="BC21" s="35"/>
      <c r="BD21" s="35"/>
      <c r="BG21" s="12">
        <v>0</v>
      </c>
      <c r="BH21" s="12">
        <v>1</v>
      </c>
      <c r="BI21" s="12">
        <v>0</v>
      </c>
      <c r="BJ21" s="12">
        <v>0</v>
      </c>
      <c r="BK21" s="12">
        <v>1</v>
      </c>
      <c r="BL21" s="12">
        <v>0</v>
      </c>
      <c r="BM21" s="12">
        <v>0</v>
      </c>
      <c r="BN21" s="34"/>
      <c r="BO21" s="35"/>
      <c r="BP21" s="35"/>
      <c r="BQ21" s="35"/>
      <c r="BR21" s="35"/>
      <c r="BS21" s="35"/>
      <c r="BT21" s="35"/>
      <c r="BU21" s="12">
        <v>0</v>
      </c>
      <c r="BV21" s="12">
        <v>1</v>
      </c>
      <c r="BW21" s="12">
        <v>1</v>
      </c>
      <c r="BX21" s="12">
        <v>1</v>
      </c>
      <c r="BY21" s="12">
        <v>1</v>
      </c>
      <c r="BZ21" s="12">
        <v>0</v>
      </c>
      <c r="CA21" s="12">
        <v>0</v>
      </c>
      <c r="CB21" s="34"/>
      <c r="CC21" s="35"/>
      <c r="CD21" s="35"/>
      <c r="CE21" s="35"/>
      <c r="CF21" s="35"/>
      <c r="CG21" s="35"/>
      <c r="CH21" s="35"/>
    </row>
    <row r="22" spans="1:86" x14ac:dyDescent="0.25">
      <c r="A22" s="12">
        <v>0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2">
        <v>0</v>
      </c>
      <c r="H22" s="36" t="s">
        <v>9</v>
      </c>
      <c r="I22" s="37"/>
      <c r="J22" s="37"/>
      <c r="K22" s="37"/>
      <c r="L22" s="37"/>
      <c r="M22" s="37"/>
      <c r="N22" s="37"/>
      <c r="O22" s="12">
        <v>0</v>
      </c>
      <c r="P22" s="12">
        <v>0</v>
      </c>
      <c r="Q22" s="12">
        <v>0</v>
      </c>
      <c r="R22" s="12">
        <v>0</v>
      </c>
      <c r="S22" s="12">
        <v>1</v>
      </c>
      <c r="T22" s="10">
        <v>0</v>
      </c>
      <c r="U22" s="12">
        <v>0</v>
      </c>
      <c r="V22" s="36" t="s">
        <v>10</v>
      </c>
      <c r="W22" s="37"/>
      <c r="X22" s="37"/>
      <c r="Y22" s="37"/>
      <c r="Z22" s="37"/>
      <c r="AA22" s="37"/>
      <c r="AB22" s="37"/>
      <c r="AC22" s="12">
        <v>0</v>
      </c>
      <c r="AD22" s="12">
        <v>1</v>
      </c>
      <c r="AE22" s="12">
        <v>1</v>
      </c>
      <c r="AF22" s="12">
        <v>0</v>
      </c>
      <c r="AG22" s="12">
        <v>1</v>
      </c>
      <c r="AH22" s="10">
        <v>0</v>
      </c>
      <c r="AI22" s="12">
        <v>0</v>
      </c>
      <c r="AJ22" s="36" t="s">
        <v>11</v>
      </c>
      <c r="AK22" s="37"/>
      <c r="AL22" s="37"/>
      <c r="AM22" s="37"/>
      <c r="AN22" s="37"/>
      <c r="AO22" s="37"/>
      <c r="AP22" s="37"/>
      <c r="AQ22" s="12">
        <v>0</v>
      </c>
      <c r="AR22" s="12">
        <v>1</v>
      </c>
      <c r="AS22" s="12">
        <v>0</v>
      </c>
      <c r="AT22" s="12">
        <v>1</v>
      </c>
      <c r="AU22" s="12">
        <v>1</v>
      </c>
      <c r="AV22" s="12">
        <v>0</v>
      </c>
      <c r="AW22" s="12">
        <v>0</v>
      </c>
      <c r="AX22" s="36" t="s">
        <v>32</v>
      </c>
      <c r="AY22" s="37"/>
      <c r="AZ22" s="37"/>
      <c r="BA22" s="37"/>
      <c r="BB22" s="37"/>
      <c r="BC22" s="37"/>
      <c r="BD22" s="37"/>
      <c r="BG22" s="12">
        <v>0</v>
      </c>
      <c r="BH22" s="12">
        <v>1</v>
      </c>
      <c r="BI22" s="12">
        <v>1</v>
      </c>
      <c r="BJ22" s="12">
        <v>1</v>
      </c>
      <c r="BK22" s="12">
        <v>0</v>
      </c>
      <c r="BL22" s="12">
        <v>0</v>
      </c>
      <c r="BM22" s="12">
        <v>0</v>
      </c>
      <c r="BN22" s="36" t="s">
        <v>58</v>
      </c>
      <c r="BO22" s="37"/>
      <c r="BP22" s="37"/>
      <c r="BQ22" s="37"/>
      <c r="BR22" s="37"/>
      <c r="BS22" s="37"/>
      <c r="BT22" s="37"/>
      <c r="BU22" s="12">
        <v>0</v>
      </c>
      <c r="BV22" s="12">
        <v>1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36" t="s">
        <v>59</v>
      </c>
      <c r="CC22" s="37"/>
      <c r="CD22" s="37"/>
      <c r="CE22" s="37"/>
      <c r="CF22" s="37"/>
      <c r="CG22" s="37"/>
      <c r="CH22" s="37"/>
    </row>
    <row r="23" spans="1:86" ht="15" customHeight="1" x14ac:dyDescent="0.25">
      <c r="A23" s="12">
        <v>0</v>
      </c>
      <c r="B23" s="12">
        <v>1</v>
      </c>
      <c r="C23" s="12">
        <v>0</v>
      </c>
      <c r="D23" s="12">
        <v>1</v>
      </c>
      <c r="E23" s="12">
        <v>0</v>
      </c>
      <c r="F23" s="12">
        <v>1</v>
      </c>
      <c r="G23" s="12">
        <v>0</v>
      </c>
      <c r="H23" s="30" t="str">
        <f>"{{"&amp;H20&amp;"}"&amp;", "&amp;$H$1&amp;"},  //"&amp;H22&amp;":"&amp;L18&amp;":"&amp;N18</f>
        <v>{{0x0, 0x37, 0x8, 0x3F, 0x8, 0x37, 0x0}, 7},  //Ж:208:150</v>
      </c>
      <c r="I23" s="35"/>
      <c r="J23" s="35"/>
      <c r="K23" s="35"/>
      <c r="L23" s="35"/>
      <c r="M23" s="35"/>
      <c r="N23" s="35"/>
      <c r="O23" s="12">
        <v>0</v>
      </c>
      <c r="P23" s="12">
        <v>0</v>
      </c>
      <c r="Q23" s="12">
        <v>0</v>
      </c>
      <c r="R23" s="12">
        <v>0</v>
      </c>
      <c r="S23" s="12">
        <v>1</v>
      </c>
      <c r="T23" s="10">
        <v>0</v>
      </c>
      <c r="U23" s="12">
        <v>0</v>
      </c>
      <c r="V23" s="30" t="str">
        <f>"{{"&amp;V20&amp;"}"&amp;", "&amp;$H$1&amp;"},  //"&amp;V22&amp;":"&amp;Z18&amp;":"&amp;AB18</f>
        <v>{{0x0, 0x25, 0x25, 0x25, 0x1A, 0x0, 0x0}, 7},  //З:208:151</v>
      </c>
      <c r="W23" s="35"/>
      <c r="X23" s="35"/>
      <c r="Y23" s="35"/>
      <c r="Z23" s="35"/>
      <c r="AA23" s="35"/>
      <c r="AB23" s="35"/>
      <c r="AC23" s="12">
        <v>0</v>
      </c>
      <c r="AD23" s="12">
        <v>1</v>
      </c>
      <c r="AE23" s="12">
        <v>0</v>
      </c>
      <c r="AF23" s="12">
        <v>0</v>
      </c>
      <c r="AG23" s="12">
        <v>1</v>
      </c>
      <c r="AH23" s="10">
        <v>0</v>
      </c>
      <c r="AI23" s="12">
        <v>0</v>
      </c>
      <c r="AJ23" s="30" t="str">
        <f>"{{"&amp;AJ20&amp;"}"&amp;", "&amp;$H$1&amp;"},  //"&amp;AJ22&amp;":"&amp;AN18&amp;":"&amp;AP18</f>
        <v>{{0x0, 0x3F, 0x8, 0x4, 0x3F, 0x0, 0x0}, 7},  //И:208:152</v>
      </c>
      <c r="AK23" s="35"/>
      <c r="AL23" s="35"/>
      <c r="AM23" s="35"/>
      <c r="AN23" s="35"/>
      <c r="AO23" s="35"/>
      <c r="AP23" s="35"/>
      <c r="AQ23" s="12">
        <v>0</v>
      </c>
      <c r="AR23" s="12">
        <v>1</v>
      </c>
      <c r="AS23" s="12">
        <v>1</v>
      </c>
      <c r="AT23" s="12">
        <v>0</v>
      </c>
      <c r="AU23" s="12">
        <v>1</v>
      </c>
      <c r="AV23" s="12">
        <v>0</v>
      </c>
      <c r="AW23" s="12">
        <v>0</v>
      </c>
      <c r="AX23" s="30" t="str">
        <f>"{{"&amp;AX20&amp;"}"&amp;", "&amp;$H$1&amp;"},  //"&amp;AX22&amp;":"&amp;BB18&amp;":"&amp;BD18</f>
        <v>{{0x0, 0x3C, 0x11, 0x9, 0x3C, 0x0, 0x0}, 7},  //Й:208:153</v>
      </c>
      <c r="AY23" s="35"/>
      <c r="AZ23" s="35"/>
      <c r="BA23" s="35"/>
      <c r="BB23" s="35"/>
      <c r="BC23" s="35"/>
      <c r="BD23" s="35"/>
      <c r="BG23" s="12">
        <v>0</v>
      </c>
      <c r="BH23" s="12">
        <v>1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30" t="str">
        <f>"{{"&amp;BN20&amp;"}"&amp;", "&amp;$H$1&amp;"},  //"&amp;BN22&amp;":"&amp;BR18&amp;":"&amp;BT18</f>
        <v>{{0x0, 0x1E, 0x29, 0x29, 0x26, 0x0, 0x0}, 7},  //E:0:69</v>
      </c>
      <c r="BO23" s="35"/>
      <c r="BP23" s="35"/>
      <c r="BQ23" s="35"/>
      <c r="BR23" s="35"/>
      <c r="BS23" s="35"/>
      <c r="BT23" s="35"/>
      <c r="BU23" s="12">
        <v>0</v>
      </c>
      <c r="BV23" s="12">
        <v>1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30" t="str">
        <f>"{{"&amp;CB20&amp;"}"&amp;", "&amp;$H$1&amp;"},  //"&amp;CB22&amp;":"&amp;CF18&amp;":"&amp;CH18</f>
        <v>{{0x0, 0x3F, 0x5, 0x5, 0x5, 0x0, 0x0}, 7},  //F:0:70</v>
      </c>
      <c r="CC23" s="35"/>
      <c r="CD23" s="35"/>
      <c r="CE23" s="35"/>
      <c r="CF23" s="35"/>
      <c r="CG23" s="35"/>
      <c r="CH23" s="35"/>
    </row>
    <row r="24" spans="1:86" x14ac:dyDescent="0.25">
      <c r="A24" s="12">
        <v>0</v>
      </c>
      <c r="B24" s="12">
        <v>1</v>
      </c>
      <c r="C24" s="12">
        <v>0</v>
      </c>
      <c r="D24" s="12">
        <v>1</v>
      </c>
      <c r="E24" s="12">
        <v>0</v>
      </c>
      <c r="F24" s="12">
        <v>1</v>
      </c>
      <c r="G24" s="12">
        <v>0</v>
      </c>
      <c r="H24" s="30"/>
      <c r="I24" s="35"/>
      <c r="J24" s="35"/>
      <c r="K24" s="35"/>
      <c r="L24" s="35"/>
      <c r="M24" s="35"/>
      <c r="N24" s="35"/>
      <c r="O24" s="12">
        <v>0</v>
      </c>
      <c r="P24" s="12">
        <v>1</v>
      </c>
      <c r="Q24" s="12">
        <v>1</v>
      </c>
      <c r="R24" s="12">
        <v>1</v>
      </c>
      <c r="S24" s="12">
        <v>0</v>
      </c>
      <c r="T24" s="10">
        <v>0</v>
      </c>
      <c r="U24" s="12">
        <v>0</v>
      </c>
      <c r="V24" s="30"/>
      <c r="W24" s="35"/>
      <c r="X24" s="35"/>
      <c r="Y24" s="35"/>
      <c r="Z24" s="35"/>
      <c r="AA24" s="35"/>
      <c r="AB24" s="35"/>
      <c r="AC24" s="12">
        <v>0</v>
      </c>
      <c r="AD24" s="12">
        <v>1</v>
      </c>
      <c r="AE24" s="12">
        <v>0</v>
      </c>
      <c r="AF24" s="12">
        <v>0</v>
      </c>
      <c r="AG24" s="12">
        <v>1</v>
      </c>
      <c r="AH24" s="10">
        <v>0</v>
      </c>
      <c r="AI24" s="12">
        <v>0</v>
      </c>
      <c r="AJ24" s="30"/>
      <c r="AK24" s="35"/>
      <c r="AL24" s="35"/>
      <c r="AM24" s="35"/>
      <c r="AN24" s="35"/>
      <c r="AO24" s="35"/>
      <c r="AP24" s="35"/>
      <c r="AQ24" s="12">
        <v>0</v>
      </c>
      <c r="AR24" s="12">
        <v>1</v>
      </c>
      <c r="AS24" s="12">
        <v>0</v>
      </c>
      <c r="AT24" s="12">
        <v>0</v>
      </c>
      <c r="AU24" s="12">
        <v>1</v>
      </c>
      <c r="AV24" s="12">
        <v>0</v>
      </c>
      <c r="AW24" s="12">
        <v>0</v>
      </c>
      <c r="AX24" s="30"/>
      <c r="AY24" s="35"/>
      <c r="AZ24" s="35"/>
      <c r="BA24" s="35"/>
      <c r="BB24" s="35"/>
      <c r="BC24" s="35"/>
      <c r="BD24" s="35"/>
      <c r="BG24" s="12">
        <v>0</v>
      </c>
      <c r="BH24" s="12">
        <v>0</v>
      </c>
      <c r="BI24" s="12">
        <v>1</v>
      </c>
      <c r="BJ24" s="12">
        <v>1</v>
      </c>
      <c r="BK24" s="12">
        <v>1</v>
      </c>
      <c r="BL24" s="12">
        <v>0</v>
      </c>
      <c r="BM24" s="12">
        <v>0</v>
      </c>
      <c r="BN24" s="30"/>
      <c r="BO24" s="35"/>
      <c r="BP24" s="35"/>
      <c r="BQ24" s="35"/>
      <c r="BR24" s="35"/>
      <c r="BS24" s="35"/>
      <c r="BT24" s="35"/>
      <c r="BU24" s="12">
        <v>0</v>
      </c>
      <c r="BV24" s="12">
        <v>1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30"/>
      <c r="CC24" s="35"/>
      <c r="CD24" s="35"/>
      <c r="CE24" s="35"/>
      <c r="CF24" s="35"/>
      <c r="CG24" s="35"/>
      <c r="CH24" s="35"/>
    </row>
    <row r="25" spans="1:86" x14ac:dyDescent="0.25">
      <c r="A25" s="12">
        <v>0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36" t="s">
        <v>48</v>
      </c>
      <c r="I25" s="37"/>
      <c r="J25" s="37"/>
      <c r="K25" s="37"/>
      <c r="L25" s="38">
        <v>208</v>
      </c>
      <c r="M25" s="38"/>
      <c r="N25" s="19">
        <v>182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36" t="s">
        <v>48</v>
      </c>
      <c r="W25" s="37"/>
      <c r="X25" s="37"/>
      <c r="Y25" s="37"/>
      <c r="Z25" s="38">
        <v>208</v>
      </c>
      <c r="AA25" s="38"/>
      <c r="AB25" s="19">
        <v>183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0">
        <v>0</v>
      </c>
      <c r="AI25" s="12">
        <v>0</v>
      </c>
      <c r="AJ25" s="36" t="s">
        <v>48</v>
      </c>
      <c r="AK25" s="37"/>
      <c r="AL25" s="37"/>
      <c r="AM25" s="37"/>
      <c r="AN25" s="38">
        <v>208</v>
      </c>
      <c r="AO25" s="38"/>
      <c r="AP25" s="19">
        <v>184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36" t="s">
        <v>48</v>
      </c>
      <c r="AY25" s="37"/>
      <c r="AZ25" s="37"/>
      <c r="BA25" s="37"/>
      <c r="BB25" s="38">
        <v>208</v>
      </c>
      <c r="BC25" s="38"/>
      <c r="BD25" s="19">
        <v>185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36" t="s">
        <v>48</v>
      </c>
      <c r="BO25" s="37"/>
      <c r="BP25" s="37"/>
      <c r="BQ25" s="37"/>
      <c r="BR25" s="38">
        <v>0</v>
      </c>
      <c r="BS25" s="38"/>
      <c r="BT25" s="19">
        <v>101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36" t="s">
        <v>48</v>
      </c>
      <c r="CC25" s="37"/>
      <c r="CD25" s="37"/>
      <c r="CE25" s="37"/>
      <c r="CF25" s="38">
        <v>0</v>
      </c>
      <c r="CG25" s="38"/>
      <c r="CH25" s="19">
        <v>102</v>
      </c>
    </row>
    <row r="26" spans="1:86" s="4" customFormat="1" x14ac:dyDescent="0.25">
      <c r="A26" s="9">
        <v>1</v>
      </c>
      <c r="B26" s="9">
        <v>2</v>
      </c>
      <c r="C26" s="9">
        <v>3</v>
      </c>
      <c r="D26" s="9">
        <v>4</v>
      </c>
      <c r="E26" s="9">
        <v>5</v>
      </c>
      <c r="F26" s="9">
        <v>6</v>
      </c>
      <c r="G26" s="9">
        <v>7</v>
      </c>
      <c r="H26" s="39" t="s">
        <v>0</v>
      </c>
      <c r="I26" s="39"/>
      <c r="J26" s="39"/>
      <c r="K26" s="39"/>
      <c r="L26" s="40">
        <v>208</v>
      </c>
      <c r="M26" s="40"/>
      <c r="N26" s="15">
        <v>154</v>
      </c>
      <c r="O26" s="9">
        <v>1</v>
      </c>
      <c r="P26" s="9">
        <v>2</v>
      </c>
      <c r="Q26" s="9">
        <v>3</v>
      </c>
      <c r="R26" s="9">
        <v>4</v>
      </c>
      <c r="S26" s="9">
        <v>5</v>
      </c>
      <c r="T26" s="9">
        <v>6</v>
      </c>
      <c r="U26" s="9">
        <v>7</v>
      </c>
      <c r="V26" s="39" t="s">
        <v>0</v>
      </c>
      <c r="W26" s="39"/>
      <c r="X26" s="39"/>
      <c r="Y26" s="39"/>
      <c r="Z26" s="40">
        <v>208</v>
      </c>
      <c r="AA26" s="40"/>
      <c r="AB26" s="15">
        <v>155</v>
      </c>
      <c r="AC26" s="9">
        <v>1</v>
      </c>
      <c r="AD26" s="9">
        <v>2</v>
      </c>
      <c r="AE26" s="9">
        <v>3</v>
      </c>
      <c r="AF26" s="9">
        <v>4</v>
      </c>
      <c r="AG26" s="9">
        <v>5</v>
      </c>
      <c r="AH26" s="9">
        <v>6</v>
      </c>
      <c r="AI26" s="9">
        <v>7</v>
      </c>
      <c r="AJ26" s="39" t="s">
        <v>0</v>
      </c>
      <c r="AK26" s="39"/>
      <c r="AL26" s="39"/>
      <c r="AM26" s="39"/>
      <c r="AN26" s="40">
        <v>208</v>
      </c>
      <c r="AO26" s="40"/>
      <c r="AP26" s="15">
        <v>156</v>
      </c>
      <c r="AQ26" s="9">
        <v>1</v>
      </c>
      <c r="AR26" s="9">
        <v>2</v>
      </c>
      <c r="AS26" s="9">
        <v>3</v>
      </c>
      <c r="AT26" s="9">
        <v>4</v>
      </c>
      <c r="AU26" s="9">
        <v>5</v>
      </c>
      <c r="AV26" s="9">
        <v>6</v>
      </c>
      <c r="AW26" s="9">
        <v>7</v>
      </c>
      <c r="AX26" s="39" t="s">
        <v>0</v>
      </c>
      <c r="AY26" s="39"/>
      <c r="AZ26" s="39"/>
      <c r="BA26" s="39"/>
      <c r="BB26" s="40">
        <v>208</v>
      </c>
      <c r="BC26" s="40"/>
      <c r="BD26" s="15">
        <v>157</v>
      </c>
      <c r="BE26" s="20"/>
      <c r="BF26" s="20"/>
      <c r="BG26" s="9">
        <v>1</v>
      </c>
      <c r="BH26" s="9">
        <v>2</v>
      </c>
      <c r="BI26" s="9">
        <v>3</v>
      </c>
      <c r="BJ26" s="9">
        <v>4</v>
      </c>
      <c r="BK26" s="9">
        <v>5</v>
      </c>
      <c r="BL26" s="9">
        <v>6</v>
      </c>
      <c r="BM26" s="9">
        <v>7</v>
      </c>
      <c r="BN26" s="39" t="s">
        <v>0</v>
      </c>
      <c r="BO26" s="39"/>
      <c r="BP26" s="39"/>
      <c r="BQ26" s="39"/>
      <c r="BR26" s="40">
        <v>0</v>
      </c>
      <c r="BS26" s="40"/>
      <c r="BT26" s="15">
        <v>71</v>
      </c>
      <c r="BU26" s="9">
        <v>1</v>
      </c>
      <c r="BV26" s="9">
        <v>2</v>
      </c>
      <c r="BW26" s="9">
        <v>3</v>
      </c>
      <c r="BX26" s="9">
        <v>4</v>
      </c>
      <c r="BY26" s="9">
        <v>5</v>
      </c>
      <c r="BZ26" s="9">
        <v>6</v>
      </c>
      <c r="CA26" s="9">
        <v>7</v>
      </c>
      <c r="CB26" s="39" t="s">
        <v>0</v>
      </c>
      <c r="CC26" s="39"/>
      <c r="CD26" s="39"/>
      <c r="CE26" s="39"/>
      <c r="CF26" s="40">
        <v>0</v>
      </c>
      <c r="CG26" s="40"/>
      <c r="CH26" s="15">
        <v>72</v>
      </c>
    </row>
    <row r="27" spans="1:86" x14ac:dyDescent="0.25">
      <c r="A27" s="10">
        <v>0</v>
      </c>
      <c r="B27" s="10">
        <v>1</v>
      </c>
      <c r="C27" s="12">
        <v>0</v>
      </c>
      <c r="D27" s="12">
        <v>0</v>
      </c>
      <c r="E27" s="10">
        <v>1</v>
      </c>
      <c r="F27" s="10">
        <v>0</v>
      </c>
      <c r="G27" s="10">
        <v>0</v>
      </c>
      <c r="H27" s="11" t="str">
        <f>BIN2HEX(A33&amp;A32&amp;A31&amp;A30&amp;A29&amp;A28&amp;A27)</f>
        <v>0</v>
      </c>
      <c r="I27" s="11" t="str">
        <f>BIN2HEX(B33&amp;B32&amp;B31&amp;B30&amp;B29&amp;B28&amp;B27)</f>
        <v>3F</v>
      </c>
      <c r="J27" s="11" t="str">
        <f t="shared" ref="J27" si="93">BIN2HEX(C33&amp;C32&amp;C31&amp;C30&amp;C29&amp;C28&amp;C27)</f>
        <v>4</v>
      </c>
      <c r="K27" s="11" t="str">
        <f t="shared" ref="K27" si="94">BIN2HEX(D33&amp;D32&amp;D31&amp;D30&amp;D29&amp;D28&amp;D27)</f>
        <v>A</v>
      </c>
      <c r="L27" s="11" t="str">
        <f t="shared" ref="L27" si="95">BIN2HEX(E33&amp;E32&amp;E31&amp;E30&amp;E29&amp;E28&amp;E27)</f>
        <v>31</v>
      </c>
      <c r="M27" s="11" t="str">
        <f t="shared" ref="M27" si="96">BIN2HEX(F33&amp;F32&amp;F31&amp;F30&amp;F29&amp;F28&amp;F27)</f>
        <v>0</v>
      </c>
      <c r="N27" s="11" t="str">
        <f t="shared" ref="N27" si="97">BIN2HEX(G33&amp;G32&amp;G31&amp;G30&amp;G29&amp;G28&amp;G27)</f>
        <v>0</v>
      </c>
      <c r="O27" s="10">
        <v>0</v>
      </c>
      <c r="P27" s="10">
        <v>0</v>
      </c>
      <c r="Q27" s="10">
        <v>0</v>
      </c>
      <c r="R27" s="10">
        <v>1</v>
      </c>
      <c r="S27" s="10">
        <v>0</v>
      </c>
      <c r="T27" s="10">
        <v>0</v>
      </c>
      <c r="U27" s="10">
        <v>0</v>
      </c>
      <c r="V27" s="11" t="str">
        <f>BIN2HEX(O33&amp;O32&amp;O31&amp;O30&amp;O29&amp;O28&amp;O27)</f>
        <v>0</v>
      </c>
      <c r="W27" s="11" t="str">
        <f>BIN2HEX(P33&amp;P32&amp;P31&amp;P30&amp;P29&amp;P28&amp;P27)</f>
        <v>20</v>
      </c>
      <c r="X27" s="11" t="str">
        <f t="shared" ref="X27" si="98">BIN2HEX(Q33&amp;Q32&amp;Q31&amp;Q30&amp;Q29&amp;Q28&amp;Q27)</f>
        <v>1E</v>
      </c>
      <c r="Y27" s="11" t="str">
        <f t="shared" ref="Y27" si="99">BIN2HEX(R33&amp;R32&amp;R31&amp;R30&amp;R29&amp;R28&amp;R27)</f>
        <v>1</v>
      </c>
      <c r="Z27" s="11" t="str">
        <f t="shared" ref="Z27" si="100">BIN2HEX(S33&amp;S32&amp;S31&amp;S30&amp;S29&amp;S28&amp;S27)</f>
        <v>3E</v>
      </c>
      <c r="AA27" s="11" t="str">
        <f t="shared" ref="AA27" si="101">BIN2HEX(T33&amp;T32&amp;T31&amp;T30&amp;T29&amp;T28&amp;T27)</f>
        <v>0</v>
      </c>
      <c r="AB27" s="11" t="str">
        <f t="shared" ref="AB27" si="102">BIN2HEX(U33&amp;U32&amp;U31&amp;U30&amp;U29&amp;U28&amp;U27)</f>
        <v>0</v>
      </c>
      <c r="AC27" s="10">
        <v>0</v>
      </c>
      <c r="AD27" s="10">
        <v>1</v>
      </c>
      <c r="AE27" s="12">
        <v>0</v>
      </c>
      <c r="AF27" s="12">
        <v>0</v>
      </c>
      <c r="AG27" s="12">
        <v>0</v>
      </c>
      <c r="AH27" s="10">
        <v>1</v>
      </c>
      <c r="AI27" s="10">
        <v>0</v>
      </c>
      <c r="AJ27" s="11" t="str">
        <f>BIN2HEX(AC33&amp;AC32&amp;AC31&amp;AC30&amp;AC29&amp;AC28&amp;AC27)</f>
        <v>0</v>
      </c>
      <c r="AK27" s="11" t="str">
        <f>BIN2HEX(AD33&amp;AD32&amp;AD31&amp;AD30&amp;AD29&amp;AD28&amp;AD27)</f>
        <v>3F</v>
      </c>
      <c r="AL27" s="11" t="str">
        <f t="shared" ref="AL27" si="103">BIN2HEX(AE33&amp;AE32&amp;AE31&amp;AE30&amp;AE29&amp;AE28&amp;AE27)</f>
        <v>6</v>
      </c>
      <c r="AM27" s="11" t="str">
        <f t="shared" ref="AM27" si="104">BIN2HEX(AF33&amp;AF32&amp;AF31&amp;AF30&amp;AF29&amp;AF28&amp;AF27)</f>
        <v>18</v>
      </c>
      <c r="AN27" s="11" t="str">
        <f t="shared" ref="AN27" si="105">BIN2HEX(AG33&amp;AG32&amp;AG31&amp;AG30&amp;AG29&amp;AG28&amp;AG27)</f>
        <v>6</v>
      </c>
      <c r="AO27" s="11" t="str">
        <f t="shared" ref="AO27" si="106">BIN2HEX(AH33&amp;AH32&amp;AH31&amp;AH30&amp;AH29&amp;AH28&amp;AH27)</f>
        <v>3F</v>
      </c>
      <c r="AP27" s="11" t="str">
        <f t="shared" ref="AP27" si="107">BIN2HEX(AI33&amp;AI32&amp;AI31&amp;AI30&amp;AI29&amp;AI28&amp;AI27)</f>
        <v>0</v>
      </c>
      <c r="AQ27" s="10">
        <v>0</v>
      </c>
      <c r="AR27" s="10">
        <v>1</v>
      </c>
      <c r="AS27" s="10">
        <v>0</v>
      </c>
      <c r="AT27" s="10">
        <v>0</v>
      </c>
      <c r="AU27" s="10">
        <v>1</v>
      </c>
      <c r="AV27" s="10">
        <v>0</v>
      </c>
      <c r="AW27" s="10">
        <v>0</v>
      </c>
      <c r="AX27" s="11" t="str">
        <f>BIN2HEX(AQ33&amp;AQ32&amp;AQ31&amp;AQ30&amp;AQ29&amp;AQ28&amp;AQ27)</f>
        <v>0</v>
      </c>
      <c r="AY27" s="11" t="str">
        <f>BIN2HEX(AR33&amp;AR32&amp;AR31&amp;AR30&amp;AR29&amp;AR28&amp;AR27)</f>
        <v>3F</v>
      </c>
      <c r="AZ27" s="11" t="str">
        <f t="shared" ref="AZ27" si="108">BIN2HEX(AS33&amp;AS32&amp;AS31&amp;AS30&amp;AS29&amp;AS28&amp;AS27)</f>
        <v>4</v>
      </c>
      <c r="BA27" s="11" t="str">
        <f t="shared" ref="BA27" si="109">BIN2HEX(AT33&amp;AT32&amp;AT31&amp;AT30&amp;AT29&amp;AT28&amp;AT27)</f>
        <v>4</v>
      </c>
      <c r="BB27" s="11" t="str">
        <f t="shared" ref="BB27" si="110">BIN2HEX(AU33&amp;AU32&amp;AU31&amp;AU30&amp;AU29&amp;AU28&amp;AU27)</f>
        <v>3F</v>
      </c>
      <c r="BC27" s="11" t="str">
        <f t="shared" ref="BC27" si="111">BIN2HEX(AV33&amp;AV32&amp;AV31&amp;AV30&amp;AV29&amp;AV28&amp;AV27)</f>
        <v>0</v>
      </c>
      <c r="BD27" s="11" t="str">
        <f t="shared" ref="BD27" si="112">BIN2HEX(AW33&amp;AW32&amp;AW31&amp;AW30&amp;AW29&amp;AW28&amp;AW27)</f>
        <v>0</v>
      </c>
      <c r="BG27" s="10">
        <v>0</v>
      </c>
      <c r="BH27" s="10">
        <v>0</v>
      </c>
      <c r="BI27" s="10">
        <v>1</v>
      </c>
      <c r="BJ27" s="10">
        <v>1</v>
      </c>
      <c r="BK27" s="10">
        <v>0</v>
      </c>
      <c r="BL27" s="10">
        <v>0</v>
      </c>
      <c r="BM27" s="10">
        <v>0</v>
      </c>
      <c r="BN27" s="11" t="str">
        <f>BIN2HEX(BG33&amp;BG32&amp;BG31&amp;BG30&amp;BG29&amp;BG28&amp;BG27)</f>
        <v>0</v>
      </c>
      <c r="BO27" s="11" t="str">
        <f>BIN2HEX(BH33&amp;BH32&amp;BH31&amp;BH30&amp;BH29&amp;BH28&amp;BH27)</f>
        <v>1E</v>
      </c>
      <c r="BP27" s="11" t="str">
        <f t="shared" ref="BP27" si="113">BIN2HEX(BI33&amp;BI32&amp;BI31&amp;BI30&amp;BI29&amp;BI28&amp;BI27)</f>
        <v>21</v>
      </c>
      <c r="BQ27" s="11" t="str">
        <f t="shared" ref="BQ27" si="114">BIN2HEX(BJ33&amp;BJ32&amp;BJ31&amp;BJ30&amp;BJ29&amp;BJ28&amp;BJ27)</f>
        <v>29</v>
      </c>
      <c r="BR27" s="11" t="str">
        <f t="shared" ref="BR27" si="115">BIN2HEX(BK33&amp;BK32&amp;BK31&amp;BK30&amp;BK29&amp;BK28&amp;BK27)</f>
        <v>1A</v>
      </c>
      <c r="BS27" s="11" t="str">
        <f t="shared" ref="BS27" si="116">BIN2HEX(BL33&amp;BL32&amp;BL31&amp;BL30&amp;BL29&amp;BL28&amp;BL27)</f>
        <v>0</v>
      </c>
      <c r="BT27" s="11" t="str">
        <f t="shared" ref="BT27" si="117">BIN2HEX(BM33&amp;BM32&amp;BM31&amp;BM30&amp;BM29&amp;BM28&amp;BM27)</f>
        <v>0</v>
      </c>
      <c r="BU27" s="10">
        <v>0</v>
      </c>
      <c r="BV27" s="10">
        <v>1</v>
      </c>
      <c r="BW27" s="10">
        <v>0</v>
      </c>
      <c r="BX27" s="10">
        <v>0</v>
      </c>
      <c r="BY27" s="10">
        <v>1</v>
      </c>
      <c r="BZ27" s="10">
        <v>0</v>
      </c>
      <c r="CA27" s="10">
        <v>0</v>
      </c>
      <c r="CB27" s="11" t="str">
        <f>BIN2HEX(BU33&amp;BU32&amp;BU31&amp;BU30&amp;BU29&amp;BU28&amp;BU27)</f>
        <v>0</v>
      </c>
      <c r="CC27" s="11" t="str">
        <f>BIN2HEX(BV33&amp;BV32&amp;BV31&amp;BV30&amp;BV29&amp;BV28&amp;BV27)</f>
        <v>3F</v>
      </c>
      <c r="CD27" s="11" t="str">
        <f t="shared" ref="CD27" si="118">BIN2HEX(BW33&amp;BW32&amp;BW31&amp;BW30&amp;BW29&amp;BW28&amp;BW27)</f>
        <v>4</v>
      </c>
      <c r="CE27" s="11" t="str">
        <f t="shared" ref="CE27" si="119">BIN2HEX(BX33&amp;BX32&amp;BX31&amp;BX30&amp;BX29&amp;BX28&amp;BX27)</f>
        <v>4</v>
      </c>
      <c r="CF27" s="11" t="str">
        <f t="shared" ref="CF27" si="120">BIN2HEX(BY33&amp;BY32&amp;BY31&amp;BY30&amp;BY29&amp;BY28&amp;BY27)</f>
        <v>3F</v>
      </c>
      <c r="CG27" s="11" t="str">
        <f t="shared" ref="CG27" si="121">BIN2HEX(BZ33&amp;BZ32&amp;BZ31&amp;BZ30&amp;BZ29&amp;BZ28&amp;BZ27)</f>
        <v>0</v>
      </c>
      <c r="CH27" s="11" t="str">
        <f t="shared" ref="CH27" si="122">BIN2HEX(CA33&amp;CA32&amp;CA31&amp;CA30&amp;CA29&amp;CA28&amp;CA27)</f>
        <v>0</v>
      </c>
    </row>
    <row r="28" spans="1:86" ht="15" customHeight="1" x14ac:dyDescent="0.25">
      <c r="A28" s="12">
        <v>0</v>
      </c>
      <c r="B28" s="12">
        <v>1</v>
      </c>
      <c r="C28" s="12">
        <v>0</v>
      </c>
      <c r="D28" s="12">
        <v>1</v>
      </c>
      <c r="E28" s="12">
        <v>0</v>
      </c>
      <c r="F28" s="10">
        <v>0</v>
      </c>
      <c r="G28" s="12">
        <v>0</v>
      </c>
      <c r="H28" s="34" t="str">
        <f>"0x"&amp;H27&amp;", 0x"&amp;I27&amp;", 0x"&amp;J27&amp;", 0x"&amp;K27&amp;", 0x"&amp;L27&amp;", 0x"&amp;M27&amp;", 0x"&amp;N27</f>
        <v>0x0, 0x3F, 0x4, 0xA, 0x31, 0x0, 0x0</v>
      </c>
      <c r="I28" s="35"/>
      <c r="J28" s="35"/>
      <c r="K28" s="35"/>
      <c r="L28" s="35"/>
      <c r="M28" s="35"/>
      <c r="N28" s="35"/>
      <c r="O28" s="12">
        <v>0</v>
      </c>
      <c r="P28" s="12">
        <v>0</v>
      </c>
      <c r="Q28" s="12">
        <v>1</v>
      </c>
      <c r="R28" s="12">
        <v>0</v>
      </c>
      <c r="S28" s="12">
        <v>1</v>
      </c>
      <c r="T28" s="10">
        <v>0</v>
      </c>
      <c r="U28" s="12">
        <v>0</v>
      </c>
      <c r="V28" s="34" t="str">
        <f>"0x"&amp;V27&amp;", 0x"&amp;W27&amp;", 0x"&amp;X27&amp;", 0x"&amp;Y27&amp;", 0x"&amp;Z27&amp;", 0x"&amp;AA27&amp;", 0x"&amp;AB27</f>
        <v>0x0, 0x20, 0x1E, 0x1, 0x3E, 0x0, 0x0</v>
      </c>
      <c r="W28" s="35"/>
      <c r="X28" s="35"/>
      <c r="Y28" s="35"/>
      <c r="Z28" s="35"/>
      <c r="AA28" s="35"/>
      <c r="AB28" s="35"/>
      <c r="AC28" s="12">
        <v>0</v>
      </c>
      <c r="AD28" s="12">
        <v>1</v>
      </c>
      <c r="AE28" s="12">
        <v>1</v>
      </c>
      <c r="AF28" s="12">
        <v>0</v>
      </c>
      <c r="AG28" s="12">
        <v>1</v>
      </c>
      <c r="AH28" s="12">
        <v>1</v>
      </c>
      <c r="AI28" s="12">
        <v>0</v>
      </c>
      <c r="AJ28" s="34" t="str">
        <f>"0x"&amp;AJ27&amp;", 0x"&amp;AK27&amp;", 0x"&amp;AL27&amp;", 0x"&amp;AM27&amp;", 0x"&amp;AN27&amp;", 0x"&amp;AO27&amp;", 0x"&amp;AP27</f>
        <v>0x0, 0x3F, 0x6, 0x18, 0x6, 0x3F, 0x0</v>
      </c>
      <c r="AK28" s="35"/>
      <c r="AL28" s="35"/>
      <c r="AM28" s="35"/>
      <c r="AN28" s="35"/>
      <c r="AO28" s="35"/>
      <c r="AP28" s="35"/>
      <c r="AQ28" s="12">
        <v>0</v>
      </c>
      <c r="AR28" s="12">
        <v>1</v>
      </c>
      <c r="AS28" s="12">
        <v>0</v>
      </c>
      <c r="AT28" s="12">
        <v>0</v>
      </c>
      <c r="AU28" s="12">
        <v>1</v>
      </c>
      <c r="AV28" s="10">
        <v>0</v>
      </c>
      <c r="AW28" s="12">
        <v>0</v>
      </c>
      <c r="AX28" s="34" t="str">
        <f>"0x"&amp;AX27&amp;", 0x"&amp;AY27&amp;", 0x"&amp;AZ27&amp;", 0x"&amp;BA27&amp;", 0x"&amp;BB27&amp;", 0x"&amp;BC27&amp;", 0x"&amp;BD27</f>
        <v>0x0, 0x3F, 0x4, 0x4, 0x3F, 0x0, 0x0</v>
      </c>
      <c r="AY28" s="35"/>
      <c r="AZ28" s="35"/>
      <c r="BA28" s="35"/>
      <c r="BB28" s="35"/>
      <c r="BC28" s="35"/>
      <c r="BD28" s="35"/>
      <c r="BG28" s="12">
        <v>0</v>
      </c>
      <c r="BH28" s="12">
        <v>1</v>
      </c>
      <c r="BI28" s="12">
        <v>0</v>
      </c>
      <c r="BJ28" s="12">
        <v>0</v>
      </c>
      <c r="BK28" s="12">
        <v>1</v>
      </c>
      <c r="BL28" s="10">
        <v>0</v>
      </c>
      <c r="BM28" s="12">
        <v>0</v>
      </c>
      <c r="BN28" s="34" t="str">
        <f>"0x"&amp;BN27&amp;", 0x"&amp;BO27&amp;", 0x"&amp;BP27&amp;", 0x"&amp;BQ27&amp;", 0x"&amp;BR27&amp;", 0x"&amp;BS27&amp;", 0x"&amp;BT27</f>
        <v>0x0, 0x1E, 0x21, 0x29, 0x1A, 0x0, 0x0</v>
      </c>
      <c r="BO28" s="35"/>
      <c r="BP28" s="35"/>
      <c r="BQ28" s="35"/>
      <c r="BR28" s="35"/>
      <c r="BS28" s="35"/>
      <c r="BT28" s="35"/>
      <c r="BU28" s="12">
        <v>0</v>
      </c>
      <c r="BV28" s="12">
        <v>1</v>
      </c>
      <c r="BW28" s="12">
        <v>0</v>
      </c>
      <c r="BX28" s="12">
        <v>0</v>
      </c>
      <c r="BY28" s="12">
        <v>1</v>
      </c>
      <c r="BZ28" s="10">
        <v>0</v>
      </c>
      <c r="CA28" s="12">
        <v>0</v>
      </c>
      <c r="CB28" s="34" t="str">
        <f>"0x"&amp;CB27&amp;", 0x"&amp;CC27&amp;", 0x"&amp;CD27&amp;", 0x"&amp;CE27&amp;", 0x"&amp;CF27&amp;", 0x"&amp;CG27&amp;", 0x"&amp;CH27</f>
        <v>0x0, 0x3F, 0x4, 0x4, 0x3F, 0x0, 0x0</v>
      </c>
      <c r="CC28" s="35"/>
      <c r="CD28" s="35"/>
      <c r="CE28" s="35"/>
      <c r="CF28" s="35"/>
      <c r="CG28" s="35"/>
      <c r="CH28" s="35"/>
    </row>
    <row r="29" spans="1:86" x14ac:dyDescent="0.25">
      <c r="A29" s="12">
        <v>0</v>
      </c>
      <c r="B29" s="12">
        <v>1</v>
      </c>
      <c r="C29" s="12">
        <v>1</v>
      </c>
      <c r="D29" s="12">
        <v>0</v>
      </c>
      <c r="E29" s="12">
        <v>0</v>
      </c>
      <c r="F29" s="12">
        <v>0</v>
      </c>
      <c r="G29" s="12">
        <v>0</v>
      </c>
      <c r="H29" s="34"/>
      <c r="I29" s="35"/>
      <c r="J29" s="35"/>
      <c r="K29" s="35"/>
      <c r="L29" s="35"/>
      <c r="M29" s="35"/>
      <c r="N29" s="35"/>
      <c r="O29" s="12">
        <v>0</v>
      </c>
      <c r="P29" s="12">
        <v>0</v>
      </c>
      <c r="Q29" s="12">
        <v>1</v>
      </c>
      <c r="R29" s="12">
        <v>0</v>
      </c>
      <c r="S29" s="12">
        <v>1</v>
      </c>
      <c r="T29" s="10">
        <v>0</v>
      </c>
      <c r="U29" s="12">
        <v>0</v>
      </c>
      <c r="V29" s="34"/>
      <c r="W29" s="35"/>
      <c r="X29" s="35"/>
      <c r="Y29" s="35"/>
      <c r="Z29" s="35"/>
      <c r="AA29" s="35"/>
      <c r="AB29" s="35"/>
      <c r="AC29" s="12">
        <v>0</v>
      </c>
      <c r="AD29" s="12">
        <v>1</v>
      </c>
      <c r="AE29" s="12">
        <v>1</v>
      </c>
      <c r="AF29" s="12">
        <v>0</v>
      </c>
      <c r="AG29" s="12">
        <v>1</v>
      </c>
      <c r="AH29" s="12">
        <v>1</v>
      </c>
      <c r="AI29" s="12">
        <v>0</v>
      </c>
      <c r="AJ29" s="34"/>
      <c r="AK29" s="35"/>
      <c r="AL29" s="35"/>
      <c r="AM29" s="35"/>
      <c r="AN29" s="35"/>
      <c r="AO29" s="35"/>
      <c r="AP29" s="35"/>
      <c r="AQ29" s="12">
        <v>0</v>
      </c>
      <c r="AR29" s="12">
        <v>1</v>
      </c>
      <c r="AS29" s="12">
        <v>1</v>
      </c>
      <c r="AT29" s="12">
        <v>1</v>
      </c>
      <c r="AU29" s="12">
        <v>1</v>
      </c>
      <c r="AV29" s="10">
        <v>0</v>
      </c>
      <c r="AW29" s="12">
        <v>0</v>
      </c>
      <c r="AX29" s="34"/>
      <c r="AY29" s="35"/>
      <c r="AZ29" s="35"/>
      <c r="BA29" s="35"/>
      <c r="BB29" s="35"/>
      <c r="BC29" s="35"/>
      <c r="BD29" s="35"/>
      <c r="BG29" s="12">
        <v>0</v>
      </c>
      <c r="BH29" s="12">
        <v>1</v>
      </c>
      <c r="BI29" s="12">
        <v>0</v>
      </c>
      <c r="BJ29" s="12">
        <v>0</v>
      </c>
      <c r="BK29" s="12">
        <v>0</v>
      </c>
      <c r="BL29" s="10">
        <v>0</v>
      </c>
      <c r="BM29" s="12">
        <v>0</v>
      </c>
      <c r="BN29" s="34"/>
      <c r="BO29" s="35"/>
      <c r="BP29" s="35"/>
      <c r="BQ29" s="35"/>
      <c r="BR29" s="35"/>
      <c r="BS29" s="35"/>
      <c r="BT29" s="35"/>
      <c r="BU29" s="12">
        <v>0</v>
      </c>
      <c r="BV29" s="12">
        <v>1</v>
      </c>
      <c r="BW29" s="12">
        <v>1</v>
      </c>
      <c r="BX29" s="12">
        <v>1</v>
      </c>
      <c r="BY29" s="12">
        <v>1</v>
      </c>
      <c r="BZ29" s="10">
        <v>0</v>
      </c>
      <c r="CA29" s="12">
        <v>0</v>
      </c>
      <c r="CB29" s="34"/>
      <c r="CC29" s="35"/>
      <c r="CD29" s="35"/>
      <c r="CE29" s="35"/>
      <c r="CF29" s="35"/>
      <c r="CG29" s="35"/>
      <c r="CH29" s="35"/>
    </row>
    <row r="30" spans="1:86" x14ac:dyDescent="0.25">
      <c r="A30" s="12">
        <v>0</v>
      </c>
      <c r="B30" s="12">
        <v>1</v>
      </c>
      <c r="C30" s="12">
        <v>0</v>
      </c>
      <c r="D30" s="12">
        <v>1</v>
      </c>
      <c r="E30" s="12">
        <v>0</v>
      </c>
      <c r="F30" s="12">
        <v>0</v>
      </c>
      <c r="G30" s="12">
        <v>0</v>
      </c>
      <c r="H30" s="36" t="s">
        <v>12</v>
      </c>
      <c r="I30" s="37"/>
      <c r="J30" s="37"/>
      <c r="K30" s="37"/>
      <c r="L30" s="37"/>
      <c r="M30" s="37"/>
      <c r="N30" s="37"/>
      <c r="O30" s="12">
        <v>0</v>
      </c>
      <c r="P30" s="12">
        <v>0</v>
      </c>
      <c r="Q30" s="12">
        <v>1</v>
      </c>
      <c r="R30" s="12">
        <v>0</v>
      </c>
      <c r="S30" s="12">
        <v>1</v>
      </c>
      <c r="T30" s="10">
        <v>0</v>
      </c>
      <c r="U30" s="12">
        <v>0</v>
      </c>
      <c r="V30" s="36" t="s">
        <v>13</v>
      </c>
      <c r="W30" s="37"/>
      <c r="X30" s="37"/>
      <c r="Y30" s="37"/>
      <c r="Z30" s="37"/>
      <c r="AA30" s="37"/>
      <c r="AB30" s="37"/>
      <c r="AC30" s="12">
        <v>0</v>
      </c>
      <c r="AD30" s="12">
        <v>1</v>
      </c>
      <c r="AE30" s="12">
        <v>0</v>
      </c>
      <c r="AF30" s="12">
        <v>1</v>
      </c>
      <c r="AG30" s="12">
        <v>0</v>
      </c>
      <c r="AH30" s="12">
        <v>1</v>
      </c>
      <c r="AI30" s="12">
        <v>0</v>
      </c>
      <c r="AJ30" s="36" t="s">
        <v>14</v>
      </c>
      <c r="AK30" s="37"/>
      <c r="AL30" s="37"/>
      <c r="AM30" s="37"/>
      <c r="AN30" s="37"/>
      <c r="AO30" s="37"/>
      <c r="AP30" s="37"/>
      <c r="AQ30" s="12">
        <v>0</v>
      </c>
      <c r="AR30" s="12">
        <v>1</v>
      </c>
      <c r="AS30" s="12">
        <v>0</v>
      </c>
      <c r="AT30" s="12">
        <v>0</v>
      </c>
      <c r="AU30" s="12">
        <v>1</v>
      </c>
      <c r="AV30" s="10">
        <v>0</v>
      </c>
      <c r="AW30" s="12">
        <v>0</v>
      </c>
      <c r="AX30" s="36" t="s">
        <v>15</v>
      </c>
      <c r="AY30" s="37"/>
      <c r="AZ30" s="37"/>
      <c r="BA30" s="37"/>
      <c r="BB30" s="37"/>
      <c r="BC30" s="37"/>
      <c r="BD30" s="37"/>
      <c r="BG30" s="12">
        <v>0</v>
      </c>
      <c r="BH30" s="12">
        <v>1</v>
      </c>
      <c r="BI30" s="12">
        <v>0</v>
      </c>
      <c r="BJ30" s="12">
        <v>1</v>
      </c>
      <c r="BK30" s="12">
        <v>1</v>
      </c>
      <c r="BL30" s="10">
        <v>0</v>
      </c>
      <c r="BM30" s="12">
        <v>0</v>
      </c>
      <c r="BN30" s="36" t="s">
        <v>60</v>
      </c>
      <c r="BO30" s="37"/>
      <c r="BP30" s="37"/>
      <c r="BQ30" s="37"/>
      <c r="BR30" s="37"/>
      <c r="BS30" s="37"/>
      <c r="BT30" s="37"/>
      <c r="BU30" s="12">
        <v>0</v>
      </c>
      <c r="BV30" s="12">
        <v>1</v>
      </c>
      <c r="BW30" s="12">
        <v>0</v>
      </c>
      <c r="BX30" s="12">
        <v>0</v>
      </c>
      <c r="BY30" s="12">
        <v>1</v>
      </c>
      <c r="BZ30" s="10">
        <v>0</v>
      </c>
      <c r="CA30" s="12">
        <v>0</v>
      </c>
      <c r="CB30" s="36" t="s">
        <v>61</v>
      </c>
      <c r="CC30" s="37"/>
      <c r="CD30" s="37"/>
      <c r="CE30" s="37"/>
      <c r="CF30" s="37"/>
      <c r="CG30" s="37"/>
      <c r="CH30" s="37"/>
    </row>
    <row r="31" spans="1:86" ht="15" customHeight="1" x14ac:dyDescent="0.25">
      <c r="A31" s="12">
        <v>0</v>
      </c>
      <c r="B31" s="12">
        <v>1</v>
      </c>
      <c r="C31" s="12">
        <v>0</v>
      </c>
      <c r="D31" s="12">
        <v>0</v>
      </c>
      <c r="E31" s="12">
        <v>1</v>
      </c>
      <c r="F31" s="12">
        <v>0</v>
      </c>
      <c r="G31" s="12">
        <v>0</v>
      </c>
      <c r="H31" s="30" t="str">
        <f>"{{"&amp;H28&amp;"}"&amp;", "&amp;$H$1&amp;"},  //"&amp;H30&amp;":"&amp;L26&amp;":"&amp;N26</f>
        <v>{{0x0, 0x3F, 0x4, 0xA, 0x31, 0x0, 0x0}, 7},  //К:208:154</v>
      </c>
      <c r="I31" s="35"/>
      <c r="J31" s="35"/>
      <c r="K31" s="35"/>
      <c r="L31" s="35"/>
      <c r="M31" s="35"/>
      <c r="N31" s="35"/>
      <c r="O31" s="12">
        <v>0</v>
      </c>
      <c r="P31" s="12">
        <v>0</v>
      </c>
      <c r="Q31" s="12">
        <v>1</v>
      </c>
      <c r="R31" s="12">
        <v>0</v>
      </c>
      <c r="S31" s="12">
        <v>1</v>
      </c>
      <c r="T31" s="10">
        <v>0</v>
      </c>
      <c r="U31" s="12">
        <v>0</v>
      </c>
      <c r="V31" s="30" t="str">
        <f>"{{"&amp;V28&amp;"}"&amp;", "&amp;$H$1&amp;"},  //"&amp;V30&amp;":"&amp;Z26&amp;":"&amp;AB26</f>
        <v>{{0x0, 0x20, 0x1E, 0x1, 0x3E, 0x0, 0x0}, 7},  //Л:208:155</v>
      </c>
      <c r="W31" s="35"/>
      <c r="X31" s="35"/>
      <c r="Y31" s="35"/>
      <c r="Z31" s="35"/>
      <c r="AA31" s="35"/>
      <c r="AB31" s="35"/>
      <c r="AC31" s="12">
        <v>0</v>
      </c>
      <c r="AD31" s="12">
        <v>1</v>
      </c>
      <c r="AE31" s="12">
        <v>0</v>
      </c>
      <c r="AF31" s="12">
        <v>1</v>
      </c>
      <c r="AG31" s="12">
        <v>0</v>
      </c>
      <c r="AH31" s="12">
        <v>1</v>
      </c>
      <c r="AI31" s="12">
        <v>0</v>
      </c>
      <c r="AJ31" s="30" t="str">
        <f>"{{"&amp;AJ28&amp;"}"&amp;", "&amp;$H$1&amp;"},  //"&amp;AJ30&amp;":"&amp;AN26&amp;":"&amp;AP26</f>
        <v>{{0x0, 0x3F, 0x6, 0x18, 0x6, 0x3F, 0x0}, 7},  //М:208:156</v>
      </c>
      <c r="AK31" s="35"/>
      <c r="AL31" s="35"/>
      <c r="AM31" s="35"/>
      <c r="AN31" s="35"/>
      <c r="AO31" s="35"/>
      <c r="AP31" s="35"/>
      <c r="AQ31" s="12">
        <v>0</v>
      </c>
      <c r="AR31" s="12">
        <v>1</v>
      </c>
      <c r="AS31" s="12">
        <v>0</v>
      </c>
      <c r="AT31" s="12">
        <v>0</v>
      </c>
      <c r="AU31" s="12">
        <v>1</v>
      </c>
      <c r="AV31" s="10">
        <v>0</v>
      </c>
      <c r="AW31" s="12">
        <v>0</v>
      </c>
      <c r="AX31" s="30" t="str">
        <f>"{{"&amp;AX28&amp;"}"&amp;", "&amp;$H$1&amp;"},  //"&amp;AX30&amp;":"&amp;BB26&amp;":"&amp;BD26</f>
        <v>{{0x0, 0x3F, 0x4, 0x4, 0x3F, 0x0, 0x0}, 7},  //Н:208:157</v>
      </c>
      <c r="AY31" s="35"/>
      <c r="AZ31" s="35"/>
      <c r="BA31" s="35"/>
      <c r="BB31" s="35"/>
      <c r="BC31" s="35"/>
      <c r="BD31" s="35"/>
      <c r="BG31" s="12">
        <v>0</v>
      </c>
      <c r="BH31" s="12">
        <v>1</v>
      </c>
      <c r="BI31" s="12">
        <v>0</v>
      </c>
      <c r="BJ31" s="12">
        <v>0</v>
      </c>
      <c r="BK31" s="12">
        <v>1</v>
      </c>
      <c r="BL31" s="10">
        <v>0</v>
      </c>
      <c r="BM31" s="12">
        <v>0</v>
      </c>
      <c r="BN31" s="30" t="str">
        <f>"{{"&amp;BN28&amp;"}"&amp;", "&amp;$H$1&amp;"},  //"&amp;BN30&amp;":"&amp;BR26&amp;":"&amp;BT26</f>
        <v>{{0x0, 0x1E, 0x21, 0x29, 0x1A, 0x0, 0x0}, 7},  //G:0:71</v>
      </c>
      <c r="BO31" s="35"/>
      <c r="BP31" s="35"/>
      <c r="BQ31" s="35"/>
      <c r="BR31" s="35"/>
      <c r="BS31" s="35"/>
      <c r="BT31" s="35"/>
      <c r="BU31" s="12">
        <v>0</v>
      </c>
      <c r="BV31" s="12">
        <v>1</v>
      </c>
      <c r="BW31" s="12">
        <v>0</v>
      </c>
      <c r="BX31" s="12">
        <v>0</v>
      </c>
      <c r="BY31" s="12">
        <v>1</v>
      </c>
      <c r="BZ31" s="10">
        <v>0</v>
      </c>
      <c r="CA31" s="12">
        <v>0</v>
      </c>
      <c r="CB31" s="30" t="str">
        <f>"{{"&amp;CB28&amp;"}"&amp;", "&amp;$H$1&amp;"},  //"&amp;CB30&amp;":"&amp;CF26&amp;":"&amp;CH26</f>
        <v>{{0x0, 0x3F, 0x4, 0x4, 0x3F, 0x0, 0x0}, 7},  //H:0:72</v>
      </c>
      <c r="CC31" s="35"/>
      <c r="CD31" s="35"/>
      <c r="CE31" s="35"/>
      <c r="CF31" s="35"/>
      <c r="CG31" s="35"/>
      <c r="CH31" s="35"/>
    </row>
    <row r="32" spans="1:86" x14ac:dyDescent="0.25">
      <c r="A32" s="12">
        <v>0</v>
      </c>
      <c r="B32" s="12">
        <v>1</v>
      </c>
      <c r="C32" s="12">
        <v>0</v>
      </c>
      <c r="D32" s="12">
        <v>0</v>
      </c>
      <c r="E32" s="12">
        <v>1</v>
      </c>
      <c r="F32" s="10">
        <v>0</v>
      </c>
      <c r="G32" s="12">
        <v>0</v>
      </c>
      <c r="H32" s="30"/>
      <c r="I32" s="35"/>
      <c r="J32" s="35"/>
      <c r="K32" s="35"/>
      <c r="L32" s="35"/>
      <c r="M32" s="35"/>
      <c r="N32" s="35"/>
      <c r="O32" s="12">
        <v>0</v>
      </c>
      <c r="P32" s="12">
        <v>1</v>
      </c>
      <c r="Q32" s="12">
        <v>0</v>
      </c>
      <c r="R32" s="12">
        <v>0</v>
      </c>
      <c r="S32" s="12">
        <v>1</v>
      </c>
      <c r="T32" s="10">
        <v>0</v>
      </c>
      <c r="U32" s="12">
        <v>0</v>
      </c>
      <c r="V32" s="30"/>
      <c r="W32" s="35"/>
      <c r="X32" s="35"/>
      <c r="Y32" s="35"/>
      <c r="Z32" s="35"/>
      <c r="AA32" s="35"/>
      <c r="AB32" s="35"/>
      <c r="AC32" s="12">
        <v>0</v>
      </c>
      <c r="AD32" s="12">
        <v>1</v>
      </c>
      <c r="AE32" s="12">
        <v>0</v>
      </c>
      <c r="AF32" s="12">
        <v>0</v>
      </c>
      <c r="AG32" s="12">
        <v>0</v>
      </c>
      <c r="AH32" s="12">
        <v>1</v>
      </c>
      <c r="AI32" s="12">
        <v>0</v>
      </c>
      <c r="AJ32" s="30"/>
      <c r="AK32" s="35"/>
      <c r="AL32" s="35"/>
      <c r="AM32" s="35"/>
      <c r="AN32" s="35"/>
      <c r="AO32" s="35"/>
      <c r="AP32" s="35"/>
      <c r="AQ32" s="12">
        <v>0</v>
      </c>
      <c r="AR32" s="12">
        <v>1</v>
      </c>
      <c r="AS32" s="12">
        <v>0</v>
      </c>
      <c r="AT32" s="12">
        <v>0</v>
      </c>
      <c r="AU32" s="12">
        <v>1</v>
      </c>
      <c r="AV32" s="10">
        <v>0</v>
      </c>
      <c r="AW32" s="12">
        <v>0</v>
      </c>
      <c r="AX32" s="30"/>
      <c r="AY32" s="35"/>
      <c r="AZ32" s="35"/>
      <c r="BA32" s="35"/>
      <c r="BB32" s="35"/>
      <c r="BC32" s="35"/>
      <c r="BD32" s="35"/>
      <c r="BG32" s="12">
        <v>0</v>
      </c>
      <c r="BH32" s="12">
        <v>0</v>
      </c>
      <c r="BI32" s="12">
        <v>1</v>
      </c>
      <c r="BJ32" s="12">
        <v>1</v>
      </c>
      <c r="BK32" s="12">
        <v>0</v>
      </c>
      <c r="BL32" s="10">
        <v>0</v>
      </c>
      <c r="BM32" s="12">
        <v>0</v>
      </c>
      <c r="BN32" s="30"/>
      <c r="BO32" s="35"/>
      <c r="BP32" s="35"/>
      <c r="BQ32" s="35"/>
      <c r="BR32" s="35"/>
      <c r="BS32" s="35"/>
      <c r="BT32" s="35"/>
      <c r="BU32" s="12">
        <v>0</v>
      </c>
      <c r="BV32" s="12">
        <v>1</v>
      </c>
      <c r="BW32" s="12">
        <v>0</v>
      </c>
      <c r="BX32" s="12">
        <v>0</v>
      </c>
      <c r="BY32" s="12">
        <v>1</v>
      </c>
      <c r="BZ32" s="10">
        <v>0</v>
      </c>
      <c r="CA32" s="12">
        <v>0</v>
      </c>
      <c r="CB32" s="30"/>
      <c r="CC32" s="35"/>
      <c r="CD32" s="35"/>
      <c r="CE32" s="35"/>
      <c r="CF32" s="35"/>
      <c r="CG32" s="35"/>
      <c r="CH32" s="35"/>
    </row>
    <row r="33" spans="1:86" x14ac:dyDescent="0.25">
      <c r="A33" s="12">
        <v>0</v>
      </c>
      <c r="B33" s="12">
        <v>0</v>
      </c>
      <c r="C33" s="12">
        <v>0</v>
      </c>
      <c r="D33" s="12">
        <v>0</v>
      </c>
      <c r="E33" s="12">
        <v>0</v>
      </c>
      <c r="F33" s="10">
        <v>0</v>
      </c>
      <c r="G33" s="12">
        <v>0</v>
      </c>
      <c r="H33" s="36" t="s">
        <v>48</v>
      </c>
      <c r="I33" s="37"/>
      <c r="J33" s="37"/>
      <c r="K33" s="37"/>
      <c r="L33" s="38">
        <v>208</v>
      </c>
      <c r="M33" s="38"/>
      <c r="N33" s="19">
        <v>186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36" t="s">
        <v>48</v>
      </c>
      <c r="W33" s="37"/>
      <c r="X33" s="37"/>
      <c r="Y33" s="37"/>
      <c r="Z33" s="38">
        <v>208</v>
      </c>
      <c r="AA33" s="38"/>
      <c r="AB33" s="19">
        <v>187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36" t="s">
        <v>48</v>
      </c>
      <c r="AK33" s="37"/>
      <c r="AL33" s="37"/>
      <c r="AM33" s="37"/>
      <c r="AN33" s="38">
        <v>208</v>
      </c>
      <c r="AO33" s="38"/>
      <c r="AP33" s="19">
        <v>188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36" t="s">
        <v>48</v>
      </c>
      <c r="AY33" s="37"/>
      <c r="AZ33" s="37"/>
      <c r="BA33" s="37"/>
      <c r="BB33" s="38">
        <v>208</v>
      </c>
      <c r="BC33" s="38"/>
      <c r="BD33" s="19">
        <v>189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36" t="s">
        <v>48</v>
      </c>
      <c r="BO33" s="37"/>
      <c r="BP33" s="37"/>
      <c r="BQ33" s="37"/>
      <c r="BR33" s="38">
        <v>0</v>
      </c>
      <c r="BS33" s="38"/>
      <c r="BT33" s="19">
        <v>103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36" t="s">
        <v>48</v>
      </c>
      <c r="CC33" s="37"/>
      <c r="CD33" s="37"/>
      <c r="CE33" s="37"/>
      <c r="CF33" s="38">
        <v>0</v>
      </c>
      <c r="CG33" s="38"/>
      <c r="CH33" s="19">
        <v>104</v>
      </c>
    </row>
    <row r="34" spans="1:86" s="4" customFormat="1" x14ac:dyDescent="0.25">
      <c r="A34" s="9">
        <v>1</v>
      </c>
      <c r="B34" s="9">
        <v>2</v>
      </c>
      <c r="C34" s="9">
        <v>3</v>
      </c>
      <c r="D34" s="9">
        <v>4</v>
      </c>
      <c r="E34" s="9">
        <v>5</v>
      </c>
      <c r="F34" s="9">
        <v>6</v>
      </c>
      <c r="G34" s="9">
        <v>7</v>
      </c>
      <c r="H34" s="39" t="s">
        <v>0</v>
      </c>
      <c r="I34" s="39"/>
      <c r="J34" s="39"/>
      <c r="K34" s="39"/>
      <c r="L34" s="40">
        <v>208</v>
      </c>
      <c r="M34" s="40"/>
      <c r="N34" s="15">
        <v>158</v>
      </c>
      <c r="O34" s="9">
        <v>1</v>
      </c>
      <c r="P34" s="9">
        <v>2</v>
      </c>
      <c r="Q34" s="9">
        <v>3</v>
      </c>
      <c r="R34" s="9">
        <v>4</v>
      </c>
      <c r="S34" s="9">
        <v>5</v>
      </c>
      <c r="T34" s="9">
        <v>6</v>
      </c>
      <c r="U34" s="9">
        <v>7</v>
      </c>
      <c r="V34" s="39" t="s">
        <v>0</v>
      </c>
      <c r="W34" s="39"/>
      <c r="X34" s="39"/>
      <c r="Y34" s="39"/>
      <c r="Z34" s="40">
        <v>208</v>
      </c>
      <c r="AA34" s="40"/>
      <c r="AB34" s="15">
        <v>159</v>
      </c>
      <c r="AC34" s="9">
        <v>1</v>
      </c>
      <c r="AD34" s="9">
        <v>2</v>
      </c>
      <c r="AE34" s="9">
        <v>3</v>
      </c>
      <c r="AF34" s="9">
        <v>4</v>
      </c>
      <c r="AG34" s="9">
        <v>5</v>
      </c>
      <c r="AH34" s="9">
        <v>6</v>
      </c>
      <c r="AI34" s="9">
        <v>7</v>
      </c>
      <c r="AJ34" s="39" t="s">
        <v>0</v>
      </c>
      <c r="AK34" s="39"/>
      <c r="AL34" s="39"/>
      <c r="AM34" s="39"/>
      <c r="AN34" s="40">
        <v>208</v>
      </c>
      <c r="AO34" s="40"/>
      <c r="AP34" s="15">
        <v>160</v>
      </c>
      <c r="AQ34" s="9">
        <v>1</v>
      </c>
      <c r="AR34" s="9">
        <v>2</v>
      </c>
      <c r="AS34" s="9">
        <v>3</v>
      </c>
      <c r="AT34" s="9">
        <v>4</v>
      </c>
      <c r="AU34" s="9">
        <v>5</v>
      </c>
      <c r="AV34" s="9">
        <v>6</v>
      </c>
      <c r="AW34" s="9">
        <v>7</v>
      </c>
      <c r="AX34" s="39" t="s">
        <v>0</v>
      </c>
      <c r="AY34" s="39"/>
      <c r="AZ34" s="39"/>
      <c r="BA34" s="39"/>
      <c r="BB34" s="40">
        <v>208</v>
      </c>
      <c r="BC34" s="40"/>
      <c r="BD34" s="15">
        <v>161</v>
      </c>
      <c r="BE34" s="20"/>
      <c r="BF34" s="20"/>
      <c r="BG34" s="6">
        <v>1</v>
      </c>
      <c r="BH34" s="6">
        <v>2</v>
      </c>
      <c r="BI34" s="6">
        <v>3</v>
      </c>
      <c r="BJ34" s="6">
        <v>4</v>
      </c>
      <c r="BK34" s="6">
        <v>5</v>
      </c>
      <c r="BL34" s="6">
        <v>6</v>
      </c>
      <c r="BM34" s="6">
        <v>7</v>
      </c>
      <c r="BN34" s="44" t="s">
        <v>0</v>
      </c>
      <c r="BO34" s="44"/>
      <c r="BP34" s="44"/>
      <c r="BQ34" s="44"/>
      <c r="BR34" s="45">
        <v>0</v>
      </c>
      <c r="BS34" s="45"/>
      <c r="BT34" s="16">
        <v>73</v>
      </c>
      <c r="BU34" s="6">
        <v>1</v>
      </c>
      <c r="BV34" s="6">
        <v>2</v>
      </c>
      <c r="BW34" s="6">
        <v>3</v>
      </c>
      <c r="BX34" s="6">
        <v>4</v>
      </c>
      <c r="BY34" s="6">
        <v>5</v>
      </c>
      <c r="BZ34" s="6">
        <v>6</v>
      </c>
      <c r="CA34" s="6">
        <v>7</v>
      </c>
      <c r="CB34" s="44" t="s">
        <v>0</v>
      </c>
      <c r="CC34" s="44"/>
      <c r="CD34" s="44"/>
      <c r="CE34" s="44"/>
      <c r="CF34" s="45">
        <v>0</v>
      </c>
      <c r="CG34" s="45"/>
      <c r="CH34" s="16">
        <v>74</v>
      </c>
    </row>
    <row r="35" spans="1:86" x14ac:dyDescent="0.25">
      <c r="A35" s="10">
        <v>0</v>
      </c>
      <c r="B35" s="10">
        <v>0</v>
      </c>
      <c r="C35" s="10">
        <v>1</v>
      </c>
      <c r="D35" s="10">
        <v>1</v>
      </c>
      <c r="E35" s="10">
        <v>0</v>
      </c>
      <c r="F35" s="10">
        <v>0</v>
      </c>
      <c r="G35" s="10">
        <v>0</v>
      </c>
      <c r="H35" s="11" t="str">
        <f>BIN2HEX(A41&amp;A40&amp;A39&amp;A38&amp;A37&amp;A36&amp;A35)</f>
        <v>0</v>
      </c>
      <c r="I35" s="11" t="str">
        <f>BIN2HEX(B41&amp;B40&amp;B39&amp;B38&amp;B37&amp;B36&amp;B35)</f>
        <v>1E</v>
      </c>
      <c r="J35" s="11" t="str">
        <f t="shared" ref="J35" si="123">BIN2HEX(C41&amp;C40&amp;C39&amp;C38&amp;C37&amp;C36&amp;C35)</f>
        <v>21</v>
      </c>
      <c r="K35" s="11" t="str">
        <f t="shared" ref="K35" si="124">BIN2HEX(D41&amp;D40&amp;D39&amp;D38&amp;D37&amp;D36&amp;D35)</f>
        <v>21</v>
      </c>
      <c r="L35" s="11" t="str">
        <f t="shared" ref="L35" si="125">BIN2HEX(E41&amp;E40&amp;E39&amp;E38&amp;E37&amp;E36&amp;E35)</f>
        <v>1E</v>
      </c>
      <c r="M35" s="11" t="str">
        <f t="shared" ref="M35" si="126">BIN2HEX(F41&amp;F40&amp;F39&amp;F38&amp;F37&amp;F36&amp;F35)</f>
        <v>0</v>
      </c>
      <c r="N35" s="11" t="str">
        <f t="shared" ref="N35" si="127">BIN2HEX(G41&amp;G40&amp;G39&amp;G38&amp;G37&amp;G36&amp;G35)</f>
        <v>0</v>
      </c>
      <c r="O35" s="10">
        <v>0</v>
      </c>
      <c r="P35" s="10">
        <v>1</v>
      </c>
      <c r="Q35" s="10">
        <v>1</v>
      </c>
      <c r="R35" s="10">
        <v>1</v>
      </c>
      <c r="S35" s="10">
        <v>1</v>
      </c>
      <c r="T35" s="10">
        <v>0</v>
      </c>
      <c r="U35" s="10">
        <v>0</v>
      </c>
      <c r="V35" s="11" t="str">
        <f>BIN2HEX(O41&amp;O40&amp;O39&amp;O38&amp;O37&amp;O36&amp;O35)</f>
        <v>0</v>
      </c>
      <c r="W35" s="11" t="str">
        <f>BIN2HEX(P41&amp;P40&amp;P39&amp;P38&amp;P37&amp;P36&amp;P35)</f>
        <v>3F</v>
      </c>
      <c r="X35" s="11" t="str">
        <f t="shared" ref="X35" si="128">BIN2HEX(Q41&amp;Q40&amp;Q39&amp;Q38&amp;Q37&amp;Q36&amp;Q35)</f>
        <v>1</v>
      </c>
      <c r="Y35" s="11" t="str">
        <f t="shared" ref="Y35" si="129">BIN2HEX(R41&amp;R40&amp;R39&amp;R38&amp;R37&amp;R36&amp;R35)</f>
        <v>1</v>
      </c>
      <c r="Z35" s="11" t="str">
        <f t="shared" ref="Z35" si="130">BIN2HEX(S41&amp;S40&amp;S39&amp;S38&amp;S37&amp;S36&amp;S35)</f>
        <v>3F</v>
      </c>
      <c r="AA35" s="11" t="str">
        <f t="shared" ref="AA35" si="131">BIN2HEX(T41&amp;T40&amp;T39&amp;T38&amp;T37&amp;T36&amp;T35)</f>
        <v>0</v>
      </c>
      <c r="AB35" s="11" t="str">
        <f t="shared" ref="AB35" si="132">BIN2HEX(U41&amp;U40&amp;U39&amp;U38&amp;U37&amp;U36&amp;U35)</f>
        <v>0</v>
      </c>
      <c r="AC35" s="10">
        <v>0</v>
      </c>
      <c r="AD35" s="10">
        <v>1</v>
      </c>
      <c r="AE35" s="10">
        <v>1</v>
      </c>
      <c r="AF35" s="10">
        <v>1</v>
      </c>
      <c r="AG35" s="10">
        <v>0</v>
      </c>
      <c r="AH35" s="10">
        <v>0</v>
      </c>
      <c r="AI35" s="10">
        <v>0</v>
      </c>
      <c r="AJ35" s="11" t="str">
        <f>BIN2HEX(AC41&amp;AC40&amp;AC39&amp;AC38&amp;AC37&amp;AC36&amp;AC35)</f>
        <v>0</v>
      </c>
      <c r="AK35" s="11" t="str">
        <f>BIN2HEX(AD41&amp;AD40&amp;AD39&amp;AD38&amp;AD37&amp;AD36&amp;AD35)</f>
        <v>3F</v>
      </c>
      <c r="AL35" s="11" t="str">
        <f t="shared" ref="AL35" si="133">BIN2HEX(AE41&amp;AE40&amp;AE39&amp;AE38&amp;AE37&amp;AE36&amp;AE35)</f>
        <v>9</v>
      </c>
      <c r="AM35" s="11" t="str">
        <f t="shared" ref="AM35" si="134">BIN2HEX(AF41&amp;AF40&amp;AF39&amp;AF38&amp;AF37&amp;AF36&amp;AF35)</f>
        <v>9</v>
      </c>
      <c r="AN35" s="11" t="str">
        <f t="shared" ref="AN35" si="135">BIN2HEX(AG41&amp;AG40&amp;AG39&amp;AG38&amp;AG37&amp;AG36&amp;AG35)</f>
        <v>6</v>
      </c>
      <c r="AO35" s="11" t="str">
        <f t="shared" ref="AO35" si="136">BIN2HEX(AH41&amp;AH40&amp;AH39&amp;AH38&amp;AH37&amp;AH36&amp;AH35)</f>
        <v>0</v>
      </c>
      <c r="AP35" s="11" t="str">
        <f t="shared" ref="AP35" si="137">BIN2HEX(AI41&amp;AI40&amp;AI39&amp;AI38&amp;AI37&amp;AI36&amp;AI35)</f>
        <v>0</v>
      </c>
      <c r="AQ35" s="23">
        <v>0</v>
      </c>
      <c r="AR35" s="10">
        <v>0</v>
      </c>
      <c r="AS35" s="10">
        <v>1</v>
      </c>
      <c r="AT35" s="10">
        <v>1</v>
      </c>
      <c r="AU35" s="10">
        <v>1</v>
      </c>
      <c r="AV35" s="10">
        <v>0</v>
      </c>
      <c r="AW35" s="10">
        <v>0</v>
      </c>
      <c r="AX35" s="11" t="str">
        <f>BIN2HEX(AQ41&amp;AQ40&amp;AQ39&amp;AQ38&amp;AQ37&amp;AQ36&amp;AQ35)</f>
        <v>0</v>
      </c>
      <c r="AY35" s="11" t="str">
        <f>BIN2HEX(AR41&amp;AR40&amp;AR39&amp;AR38&amp;AR37&amp;AR36&amp;AR35)</f>
        <v>1E</v>
      </c>
      <c r="AZ35" s="11" t="str">
        <f t="shared" ref="AZ35" si="138">BIN2HEX(AS41&amp;AS40&amp;AS39&amp;AS38&amp;AS37&amp;AS36&amp;AS35)</f>
        <v>21</v>
      </c>
      <c r="BA35" s="11" t="str">
        <f t="shared" ref="BA35" si="139">BIN2HEX(AT41&amp;AT40&amp;AT39&amp;AT38&amp;AT37&amp;AT36&amp;AT35)</f>
        <v>21</v>
      </c>
      <c r="BB35" s="11" t="str">
        <f t="shared" ref="BB35" si="140">BIN2HEX(AU41&amp;AU40&amp;AU39&amp;AU38&amp;AU37&amp;AU36&amp;AU35)</f>
        <v>21</v>
      </c>
      <c r="BC35" s="11" t="str">
        <f t="shared" ref="BC35" si="141">BIN2HEX(AV41&amp;AV40&amp;AV39&amp;AV38&amp;AV37&amp;AV36&amp;AV35)</f>
        <v>0</v>
      </c>
      <c r="BD35" s="11" t="str">
        <f t="shared" ref="BD35" si="142">BIN2HEX(AW41&amp;AW40&amp;AW39&amp;AW38&amp;AW37&amp;AW36&amp;AW35)</f>
        <v>0</v>
      </c>
      <c r="BG35" s="2">
        <v>0</v>
      </c>
      <c r="BH35" s="2">
        <v>0</v>
      </c>
      <c r="BI35" s="2">
        <v>1</v>
      </c>
      <c r="BJ35" s="2">
        <v>0</v>
      </c>
      <c r="BK35" s="2">
        <v>0</v>
      </c>
      <c r="BL35" s="2">
        <v>0</v>
      </c>
      <c r="BM35" s="2">
        <v>0</v>
      </c>
      <c r="BN35" s="11" t="str">
        <f>BIN2HEX(BG41&amp;BG40&amp;BG39&amp;BG38&amp;BG37&amp;BG36&amp;BG35)</f>
        <v>0</v>
      </c>
      <c r="BO35" s="11" t="str">
        <f>BIN2HEX(BH41&amp;BH40&amp;BH39&amp;BH38&amp;BH37&amp;BH36&amp;BH35)</f>
        <v>0</v>
      </c>
      <c r="BP35" s="11" t="str">
        <f t="shared" ref="BP35" si="143">BIN2HEX(BI41&amp;BI40&amp;BI39&amp;BI38&amp;BI37&amp;BI36&amp;BI35)</f>
        <v>3F</v>
      </c>
      <c r="BQ35" s="11" t="str">
        <f t="shared" ref="BQ35" si="144">BIN2HEX(BJ41&amp;BJ40&amp;BJ39&amp;BJ38&amp;BJ37&amp;BJ36&amp;BJ35)</f>
        <v>0</v>
      </c>
      <c r="BR35" s="11" t="str">
        <f t="shared" ref="BR35" si="145">BIN2HEX(BK41&amp;BK40&amp;BK39&amp;BK38&amp;BK37&amp;BK36&amp;BK35)</f>
        <v>0</v>
      </c>
      <c r="BS35" s="11" t="str">
        <f t="shared" ref="BS35" si="146">BIN2HEX(BL41&amp;BL40&amp;BL39&amp;BL38&amp;BL37&amp;BL36&amp;BL35)</f>
        <v>0</v>
      </c>
      <c r="BT35" s="11" t="str">
        <f t="shared" ref="BT35" si="147">BIN2HEX(BM41&amp;BM40&amp;BM39&amp;BM38&amp;BM37&amp;BM36&amp;BM35)</f>
        <v>0</v>
      </c>
      <c r="BU35" s="2">
        <v>0</v>
      </c>
      <c r="BV35" s="2">
        <v>0</v>
      </c>
      <c r="BW35" s="4">
        <v>0</v>
      </c>
      <c r="BX35" s="4">
        <v>0</v>
      </c>
      <c r="BY35" s="2">
        <v>1</v>
      </c>
      <c r="BZ35" s="2">
        <v>0</v>
      </c>
      <c r="CA35" s="2">
        <v>0</v>
      </c>
      <c r="CB35" s="11" t="str">
        <f>BIN2HEX(BU41&amp;BU40&amp;BU39&amp;BU38&amp;BU37&amp;BU36&amp;BU35)</f>
        <v>0</v>
      </c>
      <c r="CC35" s="11" t="str">
        <f>BIN2HEX(BV41&amp;BV40&amp;BV39&amp;BV38&amp;BV37&amp;BV36&amp;BV35)</f>
        <v>10</v>
      </c>
      <c r="CD35" s="11" t="str">
        <f t="shared" ref="CD35" si="148">BIN2HEX(BW41&amp;BW40&amp;BW39&amp;BW38&amp;BW37&amp;BW36&amp;BW35)</f>
        <v>20</v>
      </c>
      <c r="CE35" s="11" t="str">
        <f t="shared" ref="CE35" si="149">BIN2HEX(BX41&amp;BX40&amp;BX39&amp;BX38&amp;BX37&amp;BX36&amp;BX35)</f>
        <v>20</v>
      </c>
      <c r="CF35" s="11" t="str">
        <f t="shared" ref="CF35" si="150">BIN2HEX(BY41&amp;BY40&amp;BY39&amp;BY38&amp;BY37&amp;BY36&amp;BY35)</f>
        <v>1F</v>
      </c>
      <c r="CG35" s="11" t="str">
        <f t="shared" ref="CG35" si="151">BIN2HEX(BZ41&amp;BZ40&amp;BZ39&amp;BZ38&amp;BZ37&amp;BZ36&amp;BZ35)</f>
        <v>0</v>
      </c>
      <c r="CH35" s="11" t="str">
        <f t="shared" ref="CH35" si="152">BIN2HEX(CA41&amp;CA40&amp;CA39&amp;CA38&amp;CA37&amp;CA36&amp;CA35)</f>
        <v>0</v>
      </c>
    </row>
    <row r="36" spans="1:86" ht="15" customHeight="1" x14ac:dyDescent="0.25">
      <c r="A36" s="12">
        <v>0</v>
      </c>
      <c r="B36" s="12">
        <v>1</v>
      </c>
      <c r="C36" s="12">
        <v>0</v>
      </c>
      <c r="D36" s="12">
        <v>0</v>
      </c>
      <c r="E36" s="12">
        <v>1</v>
      </c>
      <c r="F36" s="10">
        <v>0</v>
      </c>
      <c r="G36" s="12">
        <v>0</v>
      </c>
      <c r="H36" s="34" t="str">
        <f>"0x"&amp;H35&amp;", 0x"&amp;I35&amp;", 0x"&amp;J35&amp;", 0x"&amp;K35&amp;", 0x"&amp;L35&amp;", 0x"&amp;M35&amp;", 0x"&amp;N35</f>
        <v>0x0, 0x1E, 0x21, 0x21, 0x1E, 0x0, 0x0</v>
      </c>
      <c r="I36" s="35"/>
      <c r="J36" s="35"/>
      <c r="K36" s="35"/>
      <c r="L36" s="35"/>
      <c r="M36" s="35"/>
      <c r="N36" s="35"/>
      <c r="O36" s="12">
        <v>0</v>
      </c>
      <c r="P36" s="12">
        <v>1</v>
      </c>
      <c r="Q36" s="12">
        <v>0</v>
      </c>
      <c r="R36" s="12">
        <v>0</v>
      </c>
      <c r="S36" s="12">
        <v>1</v>
      </c>
      <c r="T36" s="12">
        <v>0</v>
      </c>
      <c r="U36" s="12">
        <v>0</v>
      </c>
      <c r="V36" s="34" t="str">
        <f>"0x"&amp;V35&amp;", 0x"&amp;W35&amp;", 0x"&amp;X35&amp;", 0x"&amp;Y35&amp;", 0x"&amp;Z35&amp;", 0x"&amp;AA35&amp;", 0x"&amp;AB35</f>
        <v>0x0, 0x3F, 0x1, 0x1, 0x3F, 0x0, 0x0</v>
      </c>
      <c r="W36" s="35"/>
      <c r="X36" s="35"/>
      <c r="Y36" s="35"/>
      <c r="Z36" s="35"/>
      <c r="AA36" s="35"/>
      <c r="AB36" s="35"/>
      <c r="AC36" s="12">
        <v>0</v>
      </c>
      <c r="AD36" s="12">
        <v>1</v>
      </c>
      <c r="AE36" s="12">
        <v>0</v>
      </c>
      <c r="AF36" s="12">
        <v>0</v>
      </c>
      <c r="AG36" s="12">
        <v>1</v>
      </c>
      <c r="AH36" s="12">
        <v>0</v>
      </c>
      <c r="AI36" s="12">
        <v>0</v>
      </c>
      <c r="AJ36" s="34" t="str">
        <f>"0x"&amp;AJ35&amp;", 0x"&amp;AK35&amp;", 0x"&amp;AL35&amp;", 0x"&amp;AM35&amp;", 0x"&amp;AN35&amp;", 0x"&amp;AO35&amp;", 0x"&amp;AP35</f>
        <v>0x0, 0x3F, 0x9, 0x9, 0x6, 0x0, 0x0</v>
      </c>
      <c r="AK36" s="35"/>
      <c r="AL36" s="35"/>
      <c r="AM36" s="35"/>
      <c r="AN36" s="35"/>
      <c r="AO36" s="35"/>
      <c r="AP36" s="35"/>
      <c r="AQ36" s="24">
        <v>0</v>
      </c>
      <c r="AR36" s="12">
        <v>1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34" t="str">
        <f>"0x"&amp;AX35&amp;", 0x"&amp;AY35&amp;", 0x"&amp;AZ35&amp;", 0x"&amp;BA35&amp;", 0x"&amp;BB35&amp;", 0x"&amp;BC35&amp;", 0x"&amp;BD35</f>
        <v>0x0, 0x1E, 0x21, 0x21, 0x21, 0x0, 0x0</v>
      </c>
      <c r="AY36" s="35"/>
      <c r="AZ36" s="35"/>
      <c r="BA36" s="35"/>
      <c r="BB36" s="35"/>
      <c r="BC36" s="35"/>
      <c r="BD36" s="35"/>
      <c r="BG36" s="4">
        <v>0</v>
      </c>
      <c r="BH36" s="2">
        <v>0</v>
      </c>
      <c r="BI36" s="2">
        <v>1</v>
      </c>
      <c r="BJ36" s="2">
        <v>0</v>
      </c>
      <c r="BK36" s="2">
        <v>0</v>
      </c>
      <c r="BL36" s="2">
        <v>0</v>
      </c>
      <c r="BM36" s="2">
        <v>0</v>
      </c>
      <c r="BN36" s="34" t="str">
        <f>"0x"&amp;BN35&amp;", 0x"&amp;BO35&amp;", 0x"&amp;BP35&amp;", 0x"&amp;BQ35&amp;", 0x"&amp;BR35&amp;", 0x"&amp;BS35&amp;", 0x"&amp;BT35</f>
        <v>0x0, 0x0, 0x3F, 0x0, 0x0, 0x0, 0x0</v>
      </c>
      <c r="BO36" s="35"/>
      <c r="BP36" s="35"/>
      <c r="BQ36" s="35"/>
      <c r="BR36" s="35"/>
      <c r="BS36" s="35"/>
      <c r="BT36" s="35"/>
      <c r="BU36" s="4">
        <v>0</v>
      </c>
      <c r="BV36" s="2">
        <v>0</v>
      </c>
      <c r="BW36" s="4">
        <v>0</v>
      </c>
      <c r="BX36" s="4">
        <v>0</v>
      </c>
      <c r="BY36" s="4">
        <v>1</v>
      </c>
      <c r="BZ36" s="2">
        <v>0</v>
      </c>
      <c r="CA36" s="2">
        <v>0</v>
      </c>
      <c r="CB36" s="34" t="str">
        <f>"0x"&amp;CB35&amp;", 0x"&amp;CC35&amp;", 0x"&amp;CD35&amp;", 0x"&amp;CE35&amp;", 0x"&amp;CF35&amp;", 0x"&amp;CG35&amp;", 0x"&amp;CH35</f>
        <v>0x0, 0x10, 0x20, 0x20, 0x1F, 0x0, 0x0</v>
      </c>
      <c r="CC36" s="35"/>
      <c r="CD36" s="35"/>
      <c r="CE36" s="35"/>
      <c r="CF36" s="35"/>
      <c r="CG36" s="35"/>
      <c r="CH36" s="35"/>
    </row>
    <row r="37" spans="1:86" x14ac:dyDescent="0.25">
      <c r="A37" s="12">
        <v>0</v>
      </c>
      <c r="B37" s="12">
        <v>1</v>
      </c>
      <c r="C37" s="12">
        <v>0</v>
      </c>
      <c r="D37" s="12">
        <v>0</v>
      </c>
      <c r="E37" s="12">
        <v>1</v>
      </c>
      <c r="F37" s="10">
        <v>0</v>
      </c>
      <c r="G37" s="12">
        <v>0</v>
      </c>
      <c r="H37" s="34"/>
      <c r="I37" s="35"/>
      <c r="J37" s="35"/>
      <c r="K37" s="35"/>
      <c r="L37" s="35"/>
      <c r="M37" s="35"/>
      <c r="N37" s="35"/>
      <c r="O37" s="12">
        <v>0</v>
      </c>
      <c r="P37" s="12">
        <v>1</v>
      </c>
      <c r="Q37" s="12">
        <v>0</v>
      </c>
      <c r="R37" s="12">
        <v>0</v>
      </c>
      <c r="S37" s="12">
        <v>1</v>
      </c>
      <c r="T37" s="12">
        <v>0</v>
      </c>
      <c r="U37" s="12">
        <v>0</v>
      </c>
      <c r="V37" s="34"/>
      <c r="W37" s="35"/>
      <c r="X37" s="35"/>
      <c r="Y37" s="35"/>
      <c r="Z37" s="35"/>
      <c r="AA37" s="35"/>
      <c r="AB37" s="35"/>
      <c r="AC37" s="12">
        <v>0</v>
      </c>
      <c r="AD37" s="12">
        <v>1</v>
      </c>
      <c r="AE37" s="12">
        <v>0</v>
      </c>
      <c r="AF37" s="12">
        <v>0</v>
      </c>
      <c r="AG37" s="12">
        <v>1</v>
      </c>
      <c r="AH37" s="12">
        <v>0</v>
      </c>
      <c r="AI37" s="12">
        <v>0</v>
      </c>
      <c r="AJ37" s="34"/>
      <c r="AK37" s="35"/>
      <c r="AL37" s="35"/>
      <c r="AM37" s="35"/>
      <c r="AN37" s="35"/>
      <c r="AO37" s="35"/>
      <c r="AP37" s="35"/>
      <c r="AQ37" s="24">
        <v>0</v>
      </c>
      <c r="AR37" s="12">
        <v>1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34"/>
      <c r="AY37" s="35"/>
      <c r="AZ37" s="35"/>
      <c r="BA37" s="35"/>
      <c r="BB37" s="35"/>
      <c r="BC37" s="35"/>
      <c r="BD37" s="35"/>
      <c r="BG37" s="4">
        <v>0</v>
      </c>
      <c r="BH37" s="2">
        <v>0</v>
      </c>
      <c r="BI37" s="2">
        <v>1</v>
      </c>
      <c r="BJ37" s="2">
        <v>0</v>
      </c>
      <c r="BK37" s="2">
        <v>0</v>
      </c>
      <c r="BL37" s="2">
        <v>0</v>
      </c>
      <c r="BM37" s="2">
        <v>0</v>
      </c>
      <c r="BN37" s="34"/>
      <c r="BO37" s="35"/>
      <c r="BP37" s="35"/>
      <c r="BQ37" s="35"/>
      <c r="BR37" s="35"/>
      <c r="BS37" s="35"/>
      <c r="BT37" s="35"/>
      <c r="BU37" s="4">
        <v>0</v>
      </c>
      <c r="BV37" s="2">
        <v>0</v>
      </c>
      <c r="BW37" s="4">
        <v>0</v>
      </c>
      <c r="BX37" s="4">
        <v>0</v>
      </c>
      <c r="BY37" s="4">
        <v>1</v>
      </c>
      <c r="BZ37" s="2">
        <v>0</v>
      </c>
      <c r="CA37" s="2">
        <v>0</v>
      </c>
      <c r="CB37" s="34"/>
      <c r="CC37" s="35"/>
      <c r="CD37" s="35"/>
      <c r="CE37" s="35"/>
      <c r="CF37" s="35"/>
      <c r="CG37" s="35"/>
      <c r="CH37" s="35"/>
    </row>
    <row r="38" spans="1:86" x14ac:dyDescent="0.25">
      <c r="A38" s="12">
        <v>0</v>
      </c>
      <c r="B38" s="12">
        <v>1</v>
      </c>
      <c r="C38" s="12">
        <v>0</v>
      </c>
      <c r="D38" s="12">
        <v>0</v>
      </c>
      <c r="E38" s="12">
        <v>1</v>
      </c>
      <c r="F38" s="10">
        <v>0</v>
      </c>
      <c r="G38" s="12">
        <v>0</v>
      </c>
      <c r="H38" s="36" t="s">
        <v>16</v>
      </c>
      <c r="I38" s="37"/>
      <c r="J38" s="37"/>
      <c r="K38" s="37"/>
      <c r="L38" s="37"/>
      <c r="M38" s="37"/>
      <c r="N38" s="37"/>
      <c r="O38" s="12">
        <v>0</v>
      </c>
      <c r="P38" s="12">
        <v>1</v>
      </c>
      <c r="Q38" s="12">
        <v>0</v>
      </c>
      <c r="R38" s="12">
        <v>0</v>
      </c>
      <c r="S38" s="12">
        <v>1</v>
      </c>
      <c r="T38" s="12">
        <v>0</v>
      </c>
      <c r="U38" s="12">
        <v>0</v>
      </c>
      <c r="V38" s="36" t="s">
        <v>17</v>
      </c>
      <c r="W38" s="37"/>
      <c r="X38" s="37"/>
      <c r="Y38" s="37"/>
      <c r="Z38" s="37"/>
      <c r="AA38" s="37"/>
      <c r="AB38" s="37"/>
      <c r="AC38" s="12">
        <v>0</v>
      </c>
      <c r="AD38" s="12">
        <v>1</v>
      </c>
      <c r="AE38" s="12">
        <v>1</v>
      </c>
      <c r="AF38" s="12">
        <v>1</v>
      </c>
      <c r="AG38" s="12">
        <v>0</v>
      </c>
      <c r="AH38" s="12">
        <v>0</v>
      </c>
      <c r="AI38" s="12">
        <v>0</v>
      </c>
      <c r="AJ38" s="36" t="s">
        <v>1</v>
      </c>
      <c r="AK38" s="37"/>
      <c r="AL38" s="37"/>
      <c r="AM38" s="37"/>
      <c r="AN38" s="37"/>
      <c r="AO38" s="37"/>
      <c r="AP38" s="37"/>
      <c r="AQ38" s="24">
        <v>0</v>
      </c>
      <c r="AR38" s="12">
        <v>1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36" t="s">
        <v>2</v>
      </c>
      <c r="AY38" s="37"/>
      <c r="AZ38" s="37"/>
      <c r="BA38" s="37"/>
      <c r="BB38" s="37"/>
      <c r="BC38" s="37"/>
      <c r="BD38" s="37"/>
      <c r="BG38" s="4">
        <v>0</v>
      </c>
      <c r="BH38" s="2">
        <v>0</v>
      </c>
      <c r="BI38" s="2">
        <v>1</v>
      </c>
      <c r="BJ38" s="2">
        <v>0</v>
      </c>
      <c r="BK38" s="2">
        <v>0</v>
      </c>
      <c r="BL38" s="2">
        <v>0</v>
      </c>
      <c r="BM38" s="2">
        <v>0</v>
      </c>
      <c r="BN38" s="48" t="s">
        <v>62</v>
      </c>
      <c r="BO38" s="49"/>
      <c r="BP38" s="49"/>
      <c r="BQ38" s="49"/>
      <c r="BR38" s="49"/>
      <c r="BS38" s="49"/>
      <c r="BT38" s="49"/>
      <c r="BU38" s="4">
        <v>0</v>
      </c>
      <c r="BV38" s="2">
        <v>0</v>
      </c>
      <c r="BW38" s="4">
        <v>0</v>
      </c>
      <c r="BX38" s="4">
        <v>0</v>
      </c>
      <c r="BY38" s="4">
        <v>1</v>
      </c>
      <c r="BZ38" s="2">
        <v>0</v>
      </c>
      <c r="CA38" s="2">
        <v>0</v>
      </c>
      <c r="CB38" s="48" t="s">
        <v>63</v>
      </c>
      <c r="CC38" s="49"/>
      <c r="CD38" s="49"/>
      <c r="CE38" s="49"/>
      <c r="CF38" s="49"/>
      <c r="CG38" s="49"/>
      <c r="CH38" s="49"/>
    </row>
    <row r="39" spans="1:86" ht="15" customHeight="1" x14ac:dyDescent="0.25">
      <c r="A39" s="12">
        <v>0</v>
      </c>
      <c r="B39" s="12">
        <v>1</v>
      </c>
      <c r="C39" s="12">
        <v>0</v>
      </c>
      <c r="D39" s="12">
        <v>0</v>
      </c>
      <c r="E39" s="12">
        <v>1</v>
      </c>
      <c r="F39" s="10">
        <v>0</v>
      </c>
      <c r="G39" s="12">
        <v>0</v>
      </c>
      <c r="H39" s="30" t="str">
        <f>"{{"&amp;H36&amp;"}"&amp;", "&amp;$H$1&amp;"},  //"&amp;H38&amp;":"&amp;L34&amp;":"&amp;N34</f>
        <v>{{0x0, 0x1E, 0x21, 0x21, 0x1E, 0x0, 0x0}, 7},  //О:208:158</v>
      </c>
      <c r="I39" s="35"/>
      <c r="J39" s="35"/>
      <c r="K39" s="35"/>
      <c r="L39" s="35"/>
      <c r="M39" s="35"/>
      <c r="N39" s="35"/>
      <c r="O39" s="12">
        <v>0</v>
      </c>
      <c r="P39" s="12">
        <v>1</v>
      </c>
      <c r="Q39" s="12">
        <v>0</v>
      </c>
      <c r="R39" s="12">
        <v>0</v>
      </c>
      <c r="S39" s="12">
        <v>1</v>
      </c>
      <c r="T39" s="12">
        <v>0</v>
      </c>
      <c r="U39" s="12">
        <v>0</v>
      </c>
      <c r="V39" s="30" t="str">
        <f>"{{"&amp;V36&amp;"}"&amp;", "&amp;$H$1&amp;"},  //"&amp;V38&amp;":"&amp;Z34&amp;":"&amp;AB34</f>
        <v>{{0x0, 0x3F, 0x1, 0x1, 0x3F, 0x0, 0x0}, 7},  //П:208:159</v>
      </c>
      <c r="W39" s="35"/>
      <c r="X39" s="35"/>
      <c r="Y39" s="35"/>
      <c r="Z39" s="35"/>
      <c r="AA39" s="35"/>
      <c r="AB39" s="35"/>
      <c r="AC39" s="12">
        <v>0</v>
      </c>
      <c r="AD39" s="12">
        <v>1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30" t="str">
        <f>"{{"&amp;AJ36&amp;"}"&amp;", "&amp;$H$1&amp;"},  //"&amp;AJ38&amp;":"&amp;AN34&amp;":"&amp;AP34</f>
        <v>{{0x0, 0x3F, 0x9, 0x9, 0x6, 0x0, 0x0}, 7},  //Р:208:160</v>
      </c>
      <c r="AK39" s="35"/>
      <c r="AL39" s="35"/>
      <c r="AM39" s="35"/>
      <c r="AN39" s="35"/>
      <c r="AO39" s="35"/>
      <c r="AP39" s="35"/>
      <c r="AQ39" s="24">
        <v>0</v>
      </c>
      <c r="AR39" s="12">
        <v>1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30" t="str">
        <f>"{{"&amp;AX36&amp;"}"&amp;", "&amp;$H$1&amp;"},  //"&amp;AX38&amp;":"&amp;BB34&amp;":"&amp;BD34</f>
        <v>{{0x0, 0x1E, 0x21, 0x21, 0x21, 0x0, 0x0}, 7},  //С:208:161</v>
      </c>
      <c r="AY39" s="35"/>
      <c r="AZ39" s="35"/>
      <c r="BA39" s="35"/>
      <c r="BB39" s="35"/>
      <c r="BC39" s="35"/>
      <c r="BD39" s="35"/>
      <c r="BG39" s="4">
        <v>0</v>
      </c>
      <c r="BH39" s="2">
        <v>0</v>
      </c>
      <c r="BI39" s="2">
        <v>1</v>
      </c>
      <c r="BJ39" s="2">
        <v>0</v>
      </c>
      <c r="BK39" s="2">
        <v>0</v>
      </c>
      <c r="BL39" s="2">
        <v>0</v>
      </c>
      <c r="BM39" s="2">
        <v>0</v>
      </c>
      <c r="BN39" s="30" t="str">
        <f>"{{"&amp;BN36&amp;"}"&amp;", "&amp;$H$1&amp;"},  //"&amp;BN38&amp;":"&amp;BR34&amp;":"&amp;BT34</f>
        <v>{{0x0, 0x0, 0x3F, 0x0, 0x0, 0x0, 0x0}, 7},  //I:0:73</v>
      </c>
      <c r="BO39" s="35"/>
      <c r="BP39" s="35"/>
      <c r="BQ39" s="35"/>
      <c r="BR39" s="35"/>
      <c r="BS39" s="35"/>
      <c r="BT39" s="35"/>
      <c r="BU39" s="4">
        <v>0</v>
      </c>
      <c r="BV39" s="2">
        <v>1</v>
      </c>
      <c r="BW39" s="4">
        <v>0</v>
      </c>
      <c r="BX39" s="4">
        <v>0</v>
      </c>
      <c r="BY39" s="4">
        <v>1</v>
      </c>
      <c r="BZ39" s="2">
        <v>0</v>
      </c>
      <c r="CA39" s="2">
        <v>0</v>
      </c>
      <c r="CB39" s="30" t="str">
        <f>"{{"&amp;CB36&amp;"}"&amp;", "&amp;$H$1&amp;"},  //"&amp;CB38&amp;":"&amp;CF34&amp;":"&amp;CH34</f>
        <v>{{0x0, 0x10, 0x20, 0x20, 0x1F, 0x0, 0x0}, 7},  //J:0:74</v>
      </c>
      <c r="CC39" s="35"/>
      <c r="CD39" s="35"/>
      <c r="CE39" s="35"/>
      <c r="CF39" s="35"/>
      <c r="CG39" s="35"/>
      <c r="CH39" s="35"/>
    </row>
    <row r="40" spans="1:86" x14ac:dyDescent="0.25">
      <c r="A40" s="12">
        <v>0</v>
      </c>
      <c r="B40" s="12">
        <v>0</v>
      </c>
      <c r="C40" s="12">
        <v>1</v>
      </c>
      <c r="D40" s="12">
        <v>1</v>
      </c>
      <c r="E40" s="12">
        <v>0</v>
      </c>
      <c r="F40" s="10">
        <v>0</v>
      </c>
      <c r="G40" s="12">
        <v>0</v>
      </c>
      <c r="H40" s="30"/>
      <c r="I40" s="35"/>
      <c r="J40" s="35"/>
      <c r="K40" s="35"/>
      <c r="L40" s="35"/>
      <c r="M40" s="35"/>
      <c r="N40" s="35"/>
      <c r="O40" s="12">
        <v>0</v>
      </c>
      <c r="P40" s="12">
        <v>1</v>
      </c>
      <c r="Q40" s="12">
        <v>0</v>
      </c>
      <c r="R40" s="12">
        <v>0</v>
      </c>
      <c r="S40" s="12">
        <v>1</v>
      </c>
      <c r="T40" s="12">
        <v>0</v>
      </c>
      <c r="U40" s="12">
        <v>0</v>
      </c>
      <c r="V40" s="30"/>
      <c r="W40" s="35"/>
      <c r="X40" s="35"/>
      <c r="Y40" s="35"/>
      <c r="Z40" s="35"/>
      <c r="AA40" s="35"/>
      <c r="AB40" s="35"/>
      <c r="AC40" s="12">
        <v>0</v>
      </c>
      <c r="AD40" s="12">
        <v>1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30"/>
      <c r="AK40" s="35"/>
      <c r="AL40" s="35"/>
      <c r="AM40" s="35"/>
      <c r="AN40" s="35"/>
      <c r="AO40" s="35"/>
      <c r="AP40" s="35"/>
      <c r="AQ40" s="24">
        <v>0</v>
      </c>
      <c r="AR40" s="12">
        <v>0</v>
      </c>
      <c r="AS40" s="12">
        <v>1</v>
      </c>
      <c r="AT40" s="12">
        <v>1</v>
      </c>
      <c r="AU40" s="12">
        <v>1</v>
      </c>
      <c r="AV40" s="12">
        <v>0</v>
      </c>
      <c r="AW40" s="12">
        <v>0</v>
      </c>
      <c r="AX40" s="30"/>
      <c r="AY40" s="35"/>
      <c r="AZ40" s="35"/>
      <c r="BA40" s="35"/>
      <c r="BB40" s="35"/>
      <c r="BC40" s="35"/>
      <c r="BD40" s="35"/>
      <c r="BG40" s="4">
        <v>0</v>
      </c>
      <c r="BH40" s="2">
        <v>0</v>
      </c>
      <c r="BI40" s="2">
        <v>1</v>
      </c>
      <c r="BJ40" s="2">
        <v>0</v>
      </c>
      <c r="BK40" s="2">
        <v>0</v>
      </c>
      <c r="BL40" s="2">
        <v>0</v>
      </c>
      <c r="BM40" s="2">
        <v>0</v>
      </c>
      <c r="BN40" s="30"/>
      <c r="BO40" s="35"/>
      <c r="BP40" s="35"/>
      <c r="BQ40" s="35"/>
      <c r="BR40" s="35"/>
      <c r="BS40" s="35"/>
      <c r="BT40" s="35"/>
      <c r="BU40" s="4">
        <v>0</v>
      </c>
      <c r="BV40" s="2">
        <v>0</v>
      </c>
      <c r="BW40" s="4">
        <v>1</v>
      </c>
      <c r="BX40" s="4">
        <v>1</v>
      </c>
      <c r="BY40" s="2">
        <v>0</v>
      </c>
      <c r="BZ40" s="2">
        <v>0</v>
      </c>
      <c r="CA40" s="2">
        <v>0</v>
      </c>
      <c r="CB40" s="30"/>
      <c r="CC40" s="35"/>
      <c r="CD40" s="35"/>
      <c r="CE40" s="35"/>
      <c r="CF40" s="35"/>
      <c r="CG40" s="35"/>
      <c r="CH40" s="35"/>
    </row>
    <row r="41" spans="1:86" x14ac:dyDescent="0.25">
      <c r="A41" s="12">
        <v>0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36" t="s">
        <v>48</v>
      </c>
      <c r="I41" s="37"/>
      <c r="J41" s="37"/>
      <c r="K41" s="37"/>
      <c r="L41" s="38">
        <v>208</v>
      </c>
      <c r="M41" s="38"/>
      <c r="N41" s="19">
        <v>190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36" t="s">
        <v>48</v>
      </c>
      <c r="W41" s="37"/>
      <c r="X41" s="37"/>
      <c r="Y41" s="37"/>
      <c r="Z41" s="38">
        <v>208</v>
      </c>
      <c r="AA41" s="38"/>
      <c r="AB41" s="19">
        <v>191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36" t="s">
        <v>48</v>
      </c>
      <c r="AK41" s="37"/>
      <c r="AL41" s="37"/>
      <c r="AM41" s="37"/>
      <c r="AN41" s="38">
        <v>209</v>
      </c>
      <c r="AO41" s="38"/>
      <c r="AP41" s="19">
        <v>128</v>
      </c>
      <c r="AQ41" s="24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36" t="s">
        <v>48</v>
      </c>
      <c r="AY41" s="37"/>
      <c r="AZ41" s="37"/>
      <c r="BA41" s="37"/>
      <c r="BB41" s="38">
        <v>209</v>
      </c>
      <c r="BC41" s="38"/>
      <c r="BD41" s="19">
        <v>129</v>
      </c>
      <c r="BG41" s="4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36" t="s">
        <v>48</v>
      </c>
      <c r="BO41" s="37"/>
      <c r="BP41" s="37"/>
      <c r="BQ41" s="37"/>
      <c r="BR41" s="38">
        <v>0</v>
      </c>
      <c r="BS41" s="38"/>
      <c r="BT41" s="19">
        <v>105</v>
      </c>
      <c r="BU41" s="4">
        <v>0</v>
      </c>
      <c r="BV41" s="2">
        <v>0</v>
      </c>
      <c r="BW41" s="2">
        <v>0</v>
      </c>
      <c r="BX41" s="1">
        <v>0</v>
      </c>
      <c r="BY41" s="1">
        <v>0</v>
      </c>
      <c r="BZ41" s="2">
        <v>0</v>
      </c>
      <c r="CA41" s="2">
        <v>0</v>
      </c>
      <c r="CB41" s="36" t="s">
        <v>48</v>
      </c>
      <c r="CC41" s="37"/>
      <c r="CD41" s="37"/>
      <c r="CE41" s="37"/>
      <c r="CF41" s="38">
        <v>0</v>
      </c>
      <c r="CG41" s="38"/>
      <c r="CH41" s="19">
        <v>106</v>
      </c>
    </row>
    <row r="42" spans="1:86" s="4" customFormat="1" x14ac:dyDescent="0.25">
      <c r="A42" s="9">
        <v>1</v>
      </c>
      <c r="B42" s="9">
        <v>2</v>
      </c>
      <c r="C42" s="9">
        <v>3</v>
      </c>
      <c r="D42" s="9">
        <v>4</v>
      </c>
      <c r="E42" s="9">
        <v>5</v>
      </c>
      <c r="F42" s="9">
        <v>6</v>
      </c>
      <c r="G42" s="9">
        <v>7</v>
      </c>
      <c r="H42" s="39" t="s">
        <v>0</v>
      </c>
      <c r="I42" s="39"/>
      <c r="J42" s="39"/>
      <c r="K42" s="39"/>
      <c r="L42" s="40">
        <v>208</v>
      </c>
      <c r="M42" s="40"/>
      <c r="N42" s="15">
        <v>162</v>
      </c>
      <c r="O42" s="9">
        <v>1</v>
      </c>
      <c r="P42" s="9">
        <v>2</v>
      </c>
      <c r="Q42" s="9">
        <v>3</v>
      </c>
      <c r="R42" s="9">
        <v>4</v>
      </c>
      <c r="S42" s="9">
        <v>5</v>
      </c>
      <c r="T42" s="9">
        <v>6</v>
      </c>
      <c r="U42" s="9">
        <v>7</v>
      </c>
      <c r="V42" s="39" t="s">
        <v>0</v>
      </c>
      <c r="W42" s="39"/>
      <c r="X42" s="39"/>
      <c r="Y42" s="39"/>
      <c r="Z42" s="40">
        <v>208</v>
      </c>
      <c r="AA42" s="40"/>
      <c r="AB42" s="15">
        <v>163</v>
      </c>
      <c r="AC42" s="9">
        <v>1</v>
      </c>
      <c r="AD42" s="9">
        <v>2</v>
      </c>
      <c r="AE42" s="9">
        <v>3</v>
      </c>
      <c r="AF42" s="9">
        <v>4</v>
      </c>
      <c r="AG42" s="9">
        <v>5</v>
      </c>
      <c r="AH42" s="9">
        <v>6</v>
      </c>
      <c r="AI42" s="9">
        <v>7</v>
      </c>
      <c r="AJ42" s="39" t="s">
        <v>0</v>
      </c>
      <c r="AK42" s="39"/>
      <c r="AL42" s="39"/>
      <c r="AM42" s="39"/>
      <c r="AN42" s="40">
        <v>208</v>
      </c>
      <c r="AO42" s="40"/>
      <c r="AP42" s="15">
        <v>164</v>
      </c>
      <c r="AQ42" s="9">
        <v>1</v>
      </c>
      <c r="AR42" s="9">
        <v>2</v>
      </c>
      <c r="AS42" s="9">
        <v>3</v>
      </c>
      <c r="AT42" s="9">
        <v>4</v>
      </c>
      <c r="AU42" s="9">
        <v>5</v>
      </c>
      <c r="AV42" s="9">
        <v>6</v>
      </c>
      <c r="AW42" s="9">
        <v>7</v>
      </c>
      <c r="AX42" s="39" t="s">
        <v>0</v>
      </c>
      <c r="AY42" s="39"/>
      <c r="AZ42" s="39"/>
      <c r="BA42" s="39"/>
      <c r="BB42" s="40">
        <v>208</v>
      </c>
      <c r="BC42" s="40"/>
      <c r="BD42" s="15">
        <v>165</v>
      </c>
      <c r="BE42" s="20"/>
      <c r="BF42" s="20"/>
      <c r="BG42" s="9">
        <v>1</v>
      </c>
      <c r="BH42" s="9">
        <v>2</v>
      </c>
      <c r="BI42" s="9">
        <v>3</v>
      </c>
      <c r="BJ42" s="9">
        <v>4</v>
      </c>
      <c r="BK42" s="9">
        <v>5</v>
      </c>
      <c r="BL42" s="9">
        <v>6</v>
      </c>
      <c r="BM42" s="9">
        <v>7</v>
      </c>
      <c r="BN42" s="39" t="s">
        <v>0</v>
      </c>
      <c r="BO42" s="39"/>
      <c r="BP42" s="39"/>
      <c r="BQ42" s="39"/>
      <c r="BR42" s="40">
        <v>0</v>
      </c>
      <c r="BS42" s="40"/>
      <c r="BT42" s="15">
        <v>75</v>
      </c>
      <c r="BU42" s="6">
        <v>1</v>
      </c>
      <c r="BV42" s="6">
        <v>2</v>
      </c>
      <c r="BW42" s="6">
        <v>3</v>
      </c>
      <c r="BX42" s="6">
        <v>4</v>
      </c>
      <c r="BY42" s="6">
        <v>5</v>
      </c>
      <c r="BZ42" s="6">
        <v>6</v>
      </c>
      <c r="CA42" s="6">
        <v>7</v>
      </c>
      <c r="CB42" s="44" t="s">
        <v>0</v>
      </c>
      <c r="CC42" s="44"/>
      <c r="CD42" s="44"/>
      <c r="CE42" s="44"/>
      <c r="CF42" s="45">
        <v>0</v>
      </c>
      <c r="CG42" s="45"/>
      <c r="CH42" s="16">
        <v>76</v>
      </c>
    </row>
    <row r="43" spans="1:86" x14ac:dyDescent="0.25">
      <c r="A43" s="10">
        <v>0</v>
      </c>
      <c r="B43" s="10">
        <v>1</v>
      </c>
      <c r="C43" s="10">
        <v>1</v>
      </c>
      <c r="D43" s="10">
        <v>1</v>
      </c>
      <c r="E43" s="10">
        <v>1</v>
      </c>
      <c r="F43" s="10">
        <v>1</v>
      </c>
      <c r="G43" s="10">
        <v>0</v>
      </c>
      <c r="H43" s="11" t="str">
        <f t="shared" ref="H43:M43" si="153">BIN2HEX(A49&amp;A48&amp;A47&amp;A46&amp;A45&amp;A44&amp;A43)</f>
        <v>0</v>
      </c>
      <c r="I43" s="11" t="str">
        <f t="shared" si="153"/>
        <v>1</v>
      </c>
      <c r="J43" s="11" t="str">
        <f t="shared" si="153"/>
        <v>1</v>
      </c>
      <c r="K43" s="11" t="str">
        <f t="shared" si="153"/>
        <v>3F</v>
      </c>
      <c r="L43" s="11" t="str">
        <f t="shared" si="153"/>
        <v>1</v>
      </c>
      <c r="M43" s="11" t="str">
        <f t="shared" si="153"/>
        <v>1</v>
      </c>
      <c r="N43" s="11" t="str">
        <f t="shared" ref="N43" si="154">BIN2HEX(G49&amp;G48&amp;G47&amp;G46&amp;G45&amp;G44&amp;G43)</f>
        <v>0</v>
      </c>
      <c r="O43" s="10">
        <v>0</v>
      </c>
      <c r="P43" s="10">
        <v>1</v>
      </c>
      <c r="Q43" s="10">
        <v>0</v>
      </c>
      <c r="R43" s="10">
        <v>0</v>
      </c>
      <c r="S43" s="10">
        <v>1</v>
      </c>
      <c r="T43" s="10">
        <v>0</v>
      </c>
      <c r="U43" s="10">
        <v>0</v>
      </c>
      <c r="V43" s="11" t="str">
        <f>BIN2HEX(O49&amp;O48&amp;O47&amp;O46&amp;O45&amp;O44&amp;O43)</f>
        <v>0</v>
      </c>
      <c r="W43" s="11" t="str">
        <f>BIN2HEX(P49&amp;P48&amp;P47&amp;P46&amp;P45&amp;P44&amp;P43)</f>
        <v>13</v>
      </c>
      <c r="X43" s="11" t="str">
        <f t="shared" ref="X43" si="155">BIN2HEX(Q49&amp;Q48&amp;Q47&amp;Q46&amp;Q45&amp;Q44&amp;Q43)</f>
        <v>24</v>
      </c>
      <c r="Y43" s="11" t="str">
        <f t="shared" ref="Y43" si="156">BIN2HEX(R49&amp;R48&amp;R47&amp;R46&amp;R45&amp;R44&amp;R43)</f>
        <v>24</v>
      </c>
      <c r="Z43" s="11" t="str">
        <f t="shared" ref="Z43" si="157">BIN2HEX(S49&amp;S48&amp;S47&amp;S46&amp;S45&amp;S44&amp;S43)</f>
        <v>1F</v>
      </c>
      <c r="AA43" s="11" t="str">
        <f t="shared" ref="AA43" si="158">BIN2HEX(T49&amp;T48&amp;T47&amp;T46&amp;T45&amp;T44&amp;T43)</f>
        <v>0</v>
      </c>
      <c r="AB43" s="11" t="str">
        <f t="shared" ref="AB43" si="159">BIN2HEX(U49&amp;U48&amp;U47&amp;U46&amp;U45&amp;U44&amp;U43)</f>
        <v>0</v>
      </c>
      <c r="AC43" s="10">
        <v>0</v>
      </c>
      <c r="AD43" s="10">
        <v>0</v>
      </c>
      <c r="AE43" s="10">
        <v>1</v>
      </c>
      <c r="AF43" s="10">
        <v>1</v>
      </c>
      <c r="AG43" s="10">
        <v>1</v>
      </c>
      <c r="AH43" s="10">
        <v>0</v>
      </c>
      <c r="AI43" s="10">
        <v>0</v>
      </c>
      <c r="AJ43" s="11" t="str">
        <f>BIN2HEX(AC49&amp;AC48&amp;AC47&amp;AC46&amp;AC45&amp;AC44&amp;AC43)</f>
        <v>0</v>
      </c>
      <c r="AK43" s="11" t="str">
        <f>BIN2HEX(AD49&amp;AD48&amp;AD47&amp;AD46&amp;AD45&amp;AD44&amp;AD43)</f>
        <v>6</v>
      </c>
      <c r="AL43" s="11" t="str">
        <f t="shared" ref="AL43" si="160">BIN2HEX(AE49&amp;AE48&amp;AE47&amp;AE46&amp;AE45&amp;AE44&amp;AE43)</f>
        <v>9</v>
      </c>
      <c r="AM43" s="11" t="str">
        <f t="shared" ref="AM43" si="161">BIN2HEX(AF49&amp;AF48&amp;AF47&amp;AF46&amp;AF45&amp;AF44&amp;AF43)</f>
        <v>3F</v>
      </c>
      <c r="AN43" s="11" t="str">
        <f t="shared" ref="AN43" si="162">BIN2HEX(AG49&amp;AG48&amp;AG47&amp;AG46&amp;AG45&amp;AG44&amp;AG43)</f>
        <v>9</v>
      </c>
      <c r="AO43" s="11" t="str">
        <f t="shared" ref="AO43" si="163">BIN2HEX(AH49&amp;AH48&amp;AH47&amp;AH46&amp;AH45&amp;AH44&amp;AH43)</f>
        <v>6</v>
      </c>
      <c r="AP43" s="11" t="str">
        <f t="shared" ref="AP43" si="164">BIN2HEX(AI49&amp;AI48&amp;AI47&amp;AI46&amp;AI45&amp;AI44&amp;AI43)</f>
        <v>0</v>
      </c>
      <c r="AQ43" s="10">
        <v>0</v>
      </c>
      <c r="AR43" s="10">
        <v>1</v>
      </c>
      <c r="AS43" s="10">
        <v>0</v>
      </c>
      <c r="AT43" s="10">
        <v>0</v>
      </c>
      <c r="AU43" s="10">
        <v>0</v>
      </c>
      <c r="AV43" s="10">
        <v>1</v>
      </c>
      <c r="AW43" s="10">
        <v>0</v>
      </c>
      <c r="AX43" s="11" t="str">
        <f>BIN2HEX(AQ49&amp;AQ48&amp;AQ47&amp;AQ46&amp;AQ45&amp;AQ44&amp;AQ43)</f>
        <v>0</v>
      </c>
      <c r="AY43" s="11" t="str">
        <f>BIN2HEX(AR49&amp;AR48&amp;AR47&amp;AR46&amp;AR45&amp;AR44&amp;AR43)</f>
        <v>31</v>
      </c>
      <c r="AZ43" s="11" t="str">
        <f t="shared" ref="AZ43" si="165">BIN2HEX(AS49&amp;AS48&amp;AS47&amp;AS46&amp;AS45&amp;AS44&amp;AS43)</f>
        <v>A</v>
      </c>
      <c r="BA43" s="11" t="str">
        <f t="shared" ref="BA43" si="166">BIN2HEX(AT49&amp;AT48&amp;AT47&amp;AT46&amp;AT45&amp;AT44&amp;AT43)</f>
        <v>4</v>
      </c>
      <c r="BB43" s="11" t="str">
        <f t="shared" ref="BB43" si="167">BIN2HEX(AU49&amp;AU48&amp;AU47&amp;AU46&amp;AU45&amp;AU44&amp;AU43)</f>
        <v>A</v>
      </c>
      <c r="BC43" s="11" t="str">
        <f t="shared" ref="BC43" si="168">BIN2HEX(AV49&amp;AV48&amp;AV47&amp;AV46&amp;AV45&amp;AV44&amp;AV43)</f>
        <v>31</v>
      </c>
      <c r="BD43" s="11" t="str">
        <f t="shared" ref="BD43" si="169">BIN2HEX(AW49&amp;AW48&amp;AW47&amp;AW46&amp;AW45&amp;AW44&amp;AW43)</f>
        <v>0</v>
      </c>
      <c r="BG43" s="10">
        <v>0</v>
      </c>
      <c r="BH43" s="10">
        <v>1</v>
      </c>
      <c r="BI43" s="12">
        <v>0</v>
      </c>
      <c r="BJ43" s="12">
        <v>0</v>
      </c>
      <c r="BK43" s="10">
        <v>1</v>
      </c>
      <c r="BL43" s="10">
        <v>0</v>
      </c>
      <c r="BM43" s="10">
        <v>0</v>
      </c>
      <c r="BN43" s="11" t="str">
        <f>BIN2HEX(BG49&amp;BG48&amp;BG47&amp;BG46&amp;BG45&amp;BG44&amp;BG43)</f>
        <v>0</v>
      </c>
      <c r="BO43" s="11" t="str">
        <f>BIN2HEX(BH49&amp;BH48&amp;BH47&amp;BH46&amp;BH45&amp;BH44&amp;BH43)</f>
        <v>3F</v>
      </c>
      <c r="BP43" s="11" t="str">
        <f t="shared" ref="BP43" si="170">BIN2HEX(BI49&amp;BI48&amp;BI47&amp;BI46&amp;BI45&amp;BI44&amp;BI43)</f>
        <v>4</v>
      </c>
      <c r="BQ43" s="11" t="str">
        <f t="shared" ref="BQ43" si="171">BIN2HEX(BJ49&amp;BJ48&amp;BJ47&amp;BJ46&amp;BJ45&amp;BJ44&amp;BJ43)</f>
        <v>A</v>
      </c>
      <c r="BR43" s="11" t="str">
        <f t="shared" ref="BR43" si="172">BIN2HEX(BK49&amp;BK48&amp;BK47&amp;BK46&amp;BK45&amp;BK44&amp;BK43)</f>
        <v>31</v>
      </c>
      <c r="BS43" s="11" t="str">
        <f t="shared" ref="BS43" si="173">BIN2HEX(BL49&amp;BL48&amp;BL47&amp;BL46&amp;BL45&amp;BL44&amp;BL43)</f>
        <v>0</v>
      </c>
      <c r="BT43" s="11" t="str">
        <f t="shared" ref="BT43" si="174">BIN2HEX(BM49&amp;BM48&amp;BM47&amp;BM46&amp;BM45&amp;BM44&amp;BM43)</f>
        <v>0</v>
      </c>
      <c r="BU43" s="2">
        <v>0</v>
      </c>
      <c r="BV43" s="2">
        <v>1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11" t="str">
        <f>BIN2HEX(BU49&amp;BU48&amp;BU47&amp;BU46&amp;BU45&amp;BU44&amp;BU43)</f>
        <v>0</v>
      </c>
      <c r="CC43" s="11" t="str">
        <f>BIN2HEX(BV49&amp;BV48&amp;BV47&amp;BV46&amp;BV45&amp;BV44&amp;BV43)</f>
        <v>3F</v>
      </c>
      <c r="CD43" s="11" t="str">
        <f t="shared" ref="CD43" si="175">BIN2HEX(BW49&amp;BW48&amp;BW47&amp;BW46&amp;BW45&amp;BW44&amp;BW43)</f>
        <v>20</v>
      </c>
      <c r="CE43" s="11" t="str">
        <f t="shared" ref="CE43" si="176">BIN2HEX(BX49&amp;BX48&amp;BX47&amp;BX46&amp;BX45&amp;BX44&amp;BX43)</f>
        <v>20</v>
      </c>
      <c r="CF43" s="11" t="str">
        <f t="shared" ref="CF43" si="177">BIN2HEX(BY49&amp;BY48&amp;BY47&amp;BY46&amp;BY45&amp;BY44&amp;BY43)</f>
        <v>20</v>
      </c>
      <c r="CG43" s="11" t="str">
        <f t="shared" ref="CG43" si="178">BIN2HEX(BZ49&amp;BZ48&amp;BZ47&amp;BZ46&amp;BZ45&amp;BZ44&amp;BZ43)</f>
        <v>0</v>
      </c>
      <c r="CH43" s="11" t="str">
        <f t="shared" ref="CH43" si="179">BIN2HEX(CA49&amp;CA48&amp;CA47&amp;CA46&amp;CA45&amp;CA44&amp;CA43)</f>
        <v>0</v>
      </c>
    </row>
    <row r="44" spans="1:86" ht="15" customHeight="1" x14ac:dyDescent="0.25">
      <c r="A44" s="12">
        <v>0</v>
      </c>
      <c r="B44" s="12">
        <v>0</v>
      </c>
      <c r="C44" s="12">
        <v>0</v>
      </c>
      <c r="D44" s="12">
        <v>1</v>
      </c>
      <c r="E44" s="12">
        <v>0</v>
      </c>
      <c r="F44" s="12">
        <v>0</v>
      </c>
      <c r="G44" s="12">
        <v>0</v>
      </c>
      <c r="H44" s="34" t="str">
        <f>"0x"&amp;H43&amp;", 0x"&amp;I43&amp;", 0x"&amp;J43&amp;", 0x"&amp;K43&amp;", 0x"&amp;L43&amp;", 0x"&amp;M43&amp;", 0x"&amp;N43</f>
        <v>0x0, 0x1, 0x1, 0x3F, 0x1, 0x1, 0x0</v>
      </c>
      <c r="I44" s="35"/>
      <c r="J44" s="35"/>
      <c r="K44" s="35"/>
      <c r="L44" s="35"/>
      <c r="M44" s="35"/>
      <c r="N44" s="35"/>
      <c r="O44" s="12">
        <v>0</v>
      </c>
      <c r="P44" s="12">
        <v>1</v>
      </c>
      <c r="Q44" s="12">
        <v>0</v>
      </c>
      <c r="R44" s="12">
        <v>0</v>
      </c>
      <c r="S44" s="12">
        <v>1</v>
      </c>
      <c r="T44" s="12">
        <v>0</v>
      </c>
      <c r="U44" s="12">
        <v>0</v>
      </c>
      <c r="V44" s="34" t="str">
        <f>"0x"&amp;V43&amp;", 0x"&amp;W43&amp;", 0x"&amp;X43&amp;", 0x"&amp;Y43&amp;", 0x"&amp;Z43&amp;", 0x"&amp;AA43&amp;", 0x"&amp;AB43</f>
        <v>0x0, 0x13, 0x24, 0x24, 0x1F, 0x0, 0x0</v>
      </c>
      <c r="W44" s="35"/>
      <c r="X44" s="35"/>
      <c r="Y44" s="35"/>
      <c r="Z44" s="35"/>
      <c r="AA44" s="35"/>
      <c r="AB44" s="35"/>
      <c r="AC44" s="12">
        <v>0</v>
      </c>
      <c r="AD44" s="12">
        <v>1</v>
      </c>
      <c r="AE44" s="12">
        <v>0</v>
      </c>
      <c r="AF44" s="12">
        <v>1</v>
      </c>
      <c r="AG44" s="12">
        <v>0</v>
      </c>
      <c r="AH44" s="12">
        <v>1</v>
      </c>
      <c r="AI44" s="12">
        <v>0</v>
      </c>
      <c r="AJ44" s="34" t="str">
        <f>"0x"&amp;AJ43&amp;", 0x"&amp;AK43&amp;", 0x"&amp;AL43&amp;", 0x"&amp;AM43&amp;", 0x"&amp;AN43&amp;", 0x"&amp;AO43&amp;", 0x"&amp;AP43</f>
        <v>0x0, 0x6, 0x9, 0x3F, 0x9, 0x6, 0x0</v>
      </c>
      <c r="AK44" s="35"/>
      <c r="AL44" s="35"/>
      <c r="AM44" s="35"/>
      <c r="AN44" s="35"/>
      <c r="AO44" s="35"/>
      <c r="AP44" s="35"/>
      <c r="AQ44" s="12">
        <v>0</v>
      </c>
      <c r="AR44" s="12">
        <v>0</v>
      </c>
      <c r="AS44" s="12">
        <v>1</v>
      </c>
      <c r="AT44" s="12">
        <v>0</v>
      </c>
      <c r="AU44" s="12">
        <v>1</v>
      </c>
      <c r="AV44" s="12">
        <v>0</v>
      </c>
      <c r="AW44" s="12">
        <v>0</v>
      </c>
      <c r="AX44" s="34" t="str">
        <f>"0x"&amp;AX43&amp;", 0x"&amp;AY43&amp;", 0x"&amp;AZ43&amp;", 0x"&amp;BA43&amp;", 0x"&amp;BB43&amp;", 0x"&amp;BC43&amp;", 0x"&amp;BD43</f>
        <v>0x0, 0x31, 0xA, 0x4, 0xA, 0x31, 0x0</v>
      </c>
      <c r="AY44" s="35"/>
      <c r="AZ44" s="35"/>
      <c r="BA44" s="35"/>
      <c r="BB44" s="35"/>
      <c r="BC44" s="35"/>
      <c r="BD44" s="35"/>
      <c r="BG44" s="12">
        <v>0</v>
      </c>
      <c r="BH44" s="12">
        <v>1</v>
      </c>
      <c r="BI44" s="12">
        <v>0</v>
      </c>
      <c r="BJ44" s="12">
        <v>1</v>
      </c>
      <c r="BK44" s="12">
        <v>0</v>
      </c>
      <c r="BL44" s="10">
        <v>0</v>
      </c>
      <c r="BM44" s="12">
        <v>0</v>
      </c>
      <c r="BN44" s="34" t="str">
        <f>"0x"&amp;BN43&amp;", 0x"&amp;BO43&amp;", 0x"&amp;BP43&amp;", 0x"&amp;BQ43&amp;", 0x"&amp;BR43&amp;", 0x"&amp;BS43&amp;", 0x"&amp;BT43</f>
        <v>0x0, 0x3F, 0x4, 0xA, 0x31, 0x0, 0x0</v>
      </c>
      <c r="BO44" s="35"/>
      <c r="BP44" s="35"/>
      <c r="BQ44" s="35"/>
      <c r="BR44" s="35"/>
      <c r="BS44" s="35"/>
      <c r="BT44" s="35"/>
      <c r="BU44" s="4">
        <v>0</v>
      </c>
      <c r="BV44" s="4">
        <v>1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34" t="str">
        <f>"0x"&amp;CB43&amp;", 0x"&amp;CC43&amp;", 0x"&amp;CD43&amp;", 0x"&amp;CE43&amp;", 0x"&amp;CF43&amp;", 0x"&amp;CG43&amp;", 0x"&amp;CH43</f>
        <v>0x0, 0x3F, 0x20, 0x20, 0x20, 0x0, 0x0</v>
      </c>
      <c r="CC44" s="35"/>
      <c r="CD44" s="35"/>
      <c r="CE44" s="35"/>
      <c r="CF44" s="35"/>
      <c r="CG44" s="35"/>
      <c r="CH44" s="35"/>
    </row>
    <row r="45" spans="1:86" x14ac:dyDescent="0.25">
      <c r="A45" s="12">
        <v>0</v>
      </c>
      <c r="B45" s="12">
        <v>0</v>
      </c>
      <c r="C45" s="12">
        <v>0</v>
      </c>
      <c r="D45" s="12">
        <v>1</v>
      </c>
      <c r="E45" s="12">
        <v>0</v>
      </c>
      <c r="F45" s="12">
        <v>0</v>
      </c>
      <c r="G45" s="12">
        <v>0</v>
      </c>
      <c r="H45" s="34"/>
      <c r="I45" s="35"/>
      <c r="J45" s="35"/>
      <c r="K45" s="35"/>
      <c r="L45" s="35"/>
      <c r="M45" s="35"/>
      <c r="N45" s="35"/>
      <c r="O45" s="12">
        <v>0</v>
      </c>
      <c r="P45" s="12">
        <v>0</v>
      </c>
      <c r="Q45" s="12">
        <v>1</v>
      </c>
      <c r="R45" s="12">
        <v>1</v>
      </c>
      <c r="S45" s="12">
        <v>1</v>
      </c>
      <c r="T45" s="12">
        <v>0</v>
      </c>
      <c r="U45" s="12">
        <v>0</v>
      </c>
      <c r="V45" s="34"/>
      <c r="W45" s="35"/>
      <c r="X45" s="35"/>
      <c r="Y45" s="35"/>
      <c r="Z45" s="35"/>
      <c r="AA45" s="35"/>
      <c r="AB45" s="35"/>
      <c r="AC45" s="12">
        <v>0</v>
      </c>
      <c r="AD45" s="12">
        <v>1</v>
      </c>
      <c r="AE45" s="12">
        <v>0</v>
      </c>
      <c r="AF45" s="12">
        <v>1</v>
      </c>
      <c r="AG45" s="12">
        <v>0</v>
      </c>
      <c r="AH45" s="12">
        <v>1</v>
      </c>
      <c r="AI45" s="12">
        <v>0</v>
      </c>
      <c r="AJ45" s="34"/>
      <c r="AK45" s="35"/>
      <c r="AL45" s="35"/>
      <c r="AM45" s="35"/>
      <c r="AN45" s="35"/>
      <c r="AO45" s="35"/>
      <c r="AP45" s="35"/>
      <c r="AQ45" s="12">
        <v>0</v>
      </c>
      <c r="AR45" s="12">
        <v>0</v>
      </c>
      <c r="AS45" s="12">
        <v>0</v>
      </c>
      <c r="AT45" s="12">
        <v>1</v>
      </c>
      <c r="AU45" s="12">
        <v>0</v>
      </c>
      <c r="AV45" s="12">
        <v>0</v>
      </c>
      <c r="AW45" s="12">
        <v>0</v>
      </c>
      <c r="AX45" s="34"/>
      <c r="AY45" s="35"/>
      <c r="AZ45" s="35"/>
      <c r="BA45" s="35"/>
      <c r="BB45" s="35"/>
      <c r="BC45" s="35"/>
      <c r="BD45" s="35"/>
      <c r="BG45" s="12">
        <v>0</v>
      </c>
      <c r="BH45" s="12">
        <v>1</v>
      </c>
      <c r="BI45" s="12">
        <v>1</v>
      </c>
      <c r="BJ45" s="12">
        <v>0</v>
      </c>
      <c r="BK45" s="12">
        <v>0</v>
      </c>
      <c r="BL45" s="12">
        <v>0</v>
      </c>
      <c r="BM45" s="12">
        <v>0</v>
      </c>
      <c r="BN45" s="34"/>
      <c r="BO45" s="35"/>
      <c r="BP45" s="35"/>
      <c r="BQ45" s="35"/>
      <c r="BR45" s="35"/>
      <c r="BS45" s="35"/>
      <c r="BT45" s="35"/>
      <c r="BU45" s="4">
        <v>0</v>
      </c>
      <c r="BV45" s="4">
        <v>1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34"/>
      <c r="CC45" s="35"/>
      <c r="CD45" s="35"/>
      <c r="CE45" s="35"/>
      <c r="CF45" s="35"/>
      <c r="CG45" s="35"/>
      <c r="CH45" s="35"/>
    </row>
    <row r="46" spans="1:86" x14ac:dyDescent="0.25">
      <c r="A46" s="12">
        <v>0</v>
      </c>
      <c r="B46" s="12">
        <v>0</v>
      </c>
      <c r="C46" s="12">
        <v>0</v>
      </c>
      <c r="D46" s="12">
        <v>1</v>
      </c>
      <c r="E46" s="12">
        <v>0</v>
      </c>
      <c r="F46" s="12">
        <v>0</v>
      </c>
      <c r="G46" s="12">
        <v>0</v>
      </c>
      <c r="H46" s="36" t="s">
        <v>18</v>
      </c>
      <c r="I46" s="37"/>
      <c r="J46" s="37"/>
      <c r="K46" s="37"/>
      <c r="L46" s="37"/>
      <c r="M46" s="37"/>
      <c r="N46" s="37"/>
      <c r="O46" s="12">
        <v>0</v>
      </c>
      <c r="P46" s="12">
        <v>0</v>
      </c>
      <c r="Q46" s="12">
        <v>0</v>
      </c>
      <c r="R46" s="12">
        <v>0</v>
      </c>
      <c r="S46" s="12">
        <v>1</v>
      </c>
      <c r="T46" s="12">
        <v>0</v>
      </c>
      <c r="U46" s="12">
        <v>0</v>
      </c>
      <c r="V46" s="36" t="s">
        <v>19</v>
      </c>
      <c r="W46" s="37"/>
      <c r="X46" s="37"/>
      <c r="Y46" s="37"/>
      <c r="Z46" s="37"/>
      <c r="AA46" s="37"/>
      <c r="AB46" s="37"/>
      <c r="AC46" s="12">
        <v>0</v>
      </c>
      <c r="AD46" s="12">
        <v>0</v>
      </c>
      <c r="AE46" s="12">
        <v>1</v>
      </c>
      <c r="AF46" s="12">
        <v>1</v>
      </c>
      <c r="AG46" s="12">
        <v>1</v>
      </c>
      <c r="AH46" s="12">
        <v>0</v>
      </c>
      <c r="AI46" s="12">
        <v>0</v>
      </c>
      <c r="AJ46" s="36" t="s">
        <v>20</v>
      </c>
      <c r="AK46" s="37"/>
      <c r="AL46" s="37"/>
      <c r="AM46" s="37"/>
      <c r="AN46" s="37"/>
      <c r="AO46" s="37"/>
      <c r="AP46" s="37"/>
      <c r="AQ46" s="12">
        <v>0</v>
      </c>
      <c r="AR46" s="12">
        <v>0</v>
      </c>
      <c r="AS46" s="12">
        <v>1</v>
      </c>
      <c r="AT46" s="12">
        <v>0</v>
      </c>
      <c r="AU46" s="12">
        <v>1</v>
      </c>
      <c r="AV46" s="12">
        <v>0</v>
      </c>
      <c r="AW46" s="12">
        <v>0</v>
      </c>
      <c r="AX46" s="36" t="s">
        <v>21</v>
      </c>
      <c r="AY46" s="37"/>
      <c r="AZ46" s="37"/>
      <c r="BA46" s="37"/>
      <c r="BB46" s="37"/>
      <c r="BC46" s="37"/>
      <c r="BD46" s="37"/>
      <c r="BG46" s="12">
        <v>0</v>
      </c>
      <c r="BH46" s="12">
        <v>1</v>
      </c>
      <c r="BI46" s="12">
        <v>0</v>
      </c>
      <c r="BJ46" s="12">
        <v>1</v>
      </c>
      <c r="BK46" s="12">
        <v>0</v>
      </c>
      <c r="BL46" s="12">
        <v>0</v>
      </c>
      <c r="BM46" s="12">
        <v>0</v>
      </c>
      <c r="BN46" s="36" t="s">
        <v>64</v>
      </c>
      <c r="BO46" s="37"/>
      <c r="BP46" s="37"/>
      <c r="BQ46" s="37"/>
      <c r="BR46" s="37"/>
      <c r="BS46" s="37"/>
      <c r="BT46" s="37"/>
      <c r="BU46" s="4">
        <v>0</v>
      </c>
      <c r="BV46" s="4">
        <v>1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48" t="s">
        <v>65</v>
      </c>
      <c r="CC46" s="49"/>
      <c r="CD46" s="49"/>
      <c r="CE46" s="49"/>
      <c r="CF46" s="49"/>
      <c r="CG46" s="49"/>
      <c r="CH46" s="49"/>
    </row>
    <row r="47" spans="1:86" ht="15" customHeight="1" x14ac:dyDescent="0.25">
      <c r="A47" s="12">
        <v>0</v>
      </c>
      <c r="B47" s="12">
        <v>0</v>
      </c>
      <c r="C47" s="12">
        <v>0</v>
      </c>
      <c r="D47" s="12">
        <v>1</v>
      </c>
      <c r="E47" s="12">
        <v>0</v>
      </c>
      <c r="F47" s="12">
        <v>0</v>
      </c>
      <c r="G47" s="12">
        <v>0</v>
      </c>
      <c r="H47" s="30" t="str">
        <f>"{{"&amp;H44&amp;"}"&amp;", "&amp;$H$1&amp;"},  //"&amp;H46&amp;":"&amp;L42&amp;":"&amp;N42</f>
        <v>{{0x0, 0x1, 0x1, 0x3F, 0x1, 0x1, 0x0}, 7},  //Т:208:162</v>
      </c>
      <c r="I47" s="35"/>
      <c r="J47" s="35"/>
      <c r="K47" s="35"/>
      <c r="L47" s="35"/>
      <c r="M47" s="35"/>
      <c r="N47" s="35"/>
      <c r="O47" s="12">
        <v>0</v>
      </c>
      <c r="P47" s="12">
        <v>1</v>
      </c>
      <c r="Q47" s="12">
        <v>0</v>
      </c>
      <c r="R47" s="12">
        <v>0</v>
      </c>
      <c r="S47" s="12">
        <v>1</v>
      </c>
      <c r="T47" s="12">
        <v>0</v>
      </c>
      <c r="U47" s="12">
        <v>0</v>
      </c>
      <c r="V47" s="30" t="str">
        <f>"{{"&amp;V44&amp;"}"&amp;", "&amp;$H$1&amp;"},  //"&amp;V46&amp;":"&amp;Z42&amp;":"&amp;AB42</f>
        <v>{{0x0, 0x13, 0x24, 0x24, 0x1F, 0x0, 0x0}, 7},  //У:208:163</v>
      </c>
      <c r="W47" s="35"/>
      <c r="X47" s="35"/>
      <c r="Y47" s="35"/>
      <c r="Z47" s="35"/>
      <c r="AA47" s="35"/>
      <c r="AB47" s="35"/>
      <c r="AC47" s="12">
        <v>0</v>
      </c>
      <c r="AD47" s="12">
        <v>0</v>
      </c>
      <c r="AE47" s="12">
        <v>0</v>
      </c>
      <c r="AF47" s="12">
        <v>1</v>
      </c>
      <c r="AG47" s="12">
        <v>0</v>
      </c>
      <c r="AH47" s="12">
        <v>0</v>
      </c>
      <c r="AI47" s="12">
        <v>0</v>
      </c>
      <c r="AJ47" s="30" t="str">
        <f>"{{"&amp;AJ44&amp;"}"&amp;", "&amp;$H$1&amp;"},  //"&amp;AJ46&amp;":"&amp;AN42&amp;":"&amp;AP42</f>
        <v>{{0x0, 0x6, 0x9, 0x3F, 0x9, 0x6, 0x0}, 7},  //Ф:208:164</v>
      </c>
      <c r="AK47" s="35"/>
      <c r="AL47" s="35"/>
      <c r="AM47" s="35"/>
      <c r="AN47" s="35"/>
      <c r="AO47" s="35"/>
      <c r="AP47" s="35"/>
      <c r="AQ47" s="12">
        <v>0</v>
      </c>
      <c r="AR47" s="12">
        <v>1</v>
      </c>
      <c r="AS47" s="12">
        <v>0</v>
      </c>
      <c r="AT47" s="12">
        <v>0</v>
      </c>
      <c r="AU47" s="12">
        <v>0</v>
      </c>
      <c r="AV47" s="12">
        <v>1</v>
      </c>
      <c r="AW47" s="12">
        <v>0</v>
      </c>
      <c r="AX47" s="30" t="str">
        <f>"{{"&amp;AX44&amp;"}"&amp;", "&amp;$H$1&amp;"},  //"&amp;AX46&amp;":"&amp;BB42&amp;":"&amp;BD42</f>
        <v>{{0x0, 0x31, 0xA, 0x4, 0xA, 0x31, 0x0}, 7},  //Х:208:165</v>
      </c>
      <c r="AY47" s="35"/>
      <c r="AZ47" s="35"/>
      <c r="BA47" s="35"/>
      <c r="BB47" s="35"/>
      <c r="BC47" s="35"/>
      <c r="BD47" s="35"/>
      <c r="BG47" s="12">
        <v>0</v>
      </c>
      <c r="BH47" s="12">
        <v>1</v>
      </c>
      <c r="BI47" s="12">
        <v>0</v>
      </c>
      <c r="BJ47" s="12">
        <v>0</v>
      </c>
      <c r="BK47" s="12">
        <v>1</v>
      </c>
      <c r="BL47" s="12">
        <v>0</v>
      </c>
      <c r="BM47" s="12">
        <v>0</v>
      </c>
      <c r="BN47" s="30" t="str">
        <f>"{{"&amp;BN44&amp;"}"&amp;", "&amp;$H$1&amp;"},  //"&amp;BN46&amp;":"&amp;BR42&amp;":"&amp;BT42</f>
        <v>{{0x0, 0x3F, 0x4, 0xA, 0x31, 0x0, 0x0}, 7},  //K:0:75</v>
      </c>
      <c r="BO47" s="35"/>
      <c r="BP47" s="35"/>
      <c r="BQ47" s="35"/>
      <c r="BR47" s="35"/>
      <c r="BS47" s="35"/>
      <c r="BT47" s="35"/>
      <c r="BU47" s="4">
        <v>0</v>
      </c>
      <c r="BV47" s="4">
        <v>1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30" t="str">
        <f>"{{"&amp;CB44&amp;"}"&amp;", "&amp;$H$1&amp;"},  //"&amp;CB46&amp;":"&amp;CF42&amp;":"&amp;CH42</f>
        <v>{{0x0, 0x3F, 0x20, 0x20, 0x20, 0x0, 0x0}, 7},  //L:0:76</v>
      </c>
      <c r="CC47" s="35"/>
      <c r="CD47" s="35"/>
      <c r="CE47" s="35"/>
      <c r="CF47" s="35"/>
      <c r="CG47" s="35"/>
      <c r="CH47" s="35"/>
    </row>
    <row r="48" spans="1:86" x14ac:dyDescent="0.25">
      <c r="A48" s="12">
        <v>0</v>
      </c>
      <c r="B48" s="12">
        <v>0</v>
      </c>
      <c r="C48" s="12">
        <v>0</v>
      </c>
      <c r="D48" s="12">
        <v>1</v>
      </c>
      <c r="E48" s="12">
        <v>0</v>
      </c>
      <c r="F48" s="12">
        <v>0</v>
      </c>
      <c r="G48" s="12">
        <v>0</v>
      </c>
      <c r="H48" s="30"/>
      <c r="I48" s="35"/>
      <c r="J48" s="35"/>
      <c r="K48" s="35"/>
      <c r="L48" s="35"/>
      <c r="M48" s="35"/>
      <c r="N48" s="35"/>
      <c r="O48" s="12">
        <v>0</v>
      </c>
      <c r="P48" s="12">
        <v>0</v>
      </c>
      <c r="Q48" s="12">
        <v>1</v>
      </c>
      <c r="R48" s="12">
        <v>1</v>
      </c>
      <c r="S48" s="12">
        <v>0</v>
      </c>
      <c r="T48" s="12">
        <v>0</v>
      </c>
      <c r="U48" s="12">
        <v>0</v>
      </c>
      <c r="V48" s="30"/>
      <c r="W48" s="35"/>
      <c r="X48" s="35"/>
      <c r="Y48" s="35"/>
      <c r="Z48" s="35"/>
      <c r="AA48" s="35"/>
      <c r="AB48" s="35"/>
      <c r="AC48" s="12">
        <v>0</v>
      </c>
      <c r="AD48" s="12">
        <v>0</v>
      </c>
      <c r="AE48" s="12">
        <v>0</v>
      </c>
      <c r="AF48" s="12">
        <v>1</v>
      </c>
      <c r="AG48" s="12">
        <v>0</v>
      </c>
      <c r="AH48" s="12">
        <v>0</v>
      </c>
      <c r="AI48" s="12">
        <v>0</v>
      </c>
      <c r="AJ48" s="30"/>
      <c r="AK48" s="35"/>
      <c r="AL48" s="35"/>
      <c r="AM48" s="35"/>
      <c r="AN48" s="35"/>
      <c r="AO48" s="35"/>
      <c r="AP48" s="35"/>
      <c r="AQ48" s="12">
        <v>0</v>
      </c>
      <c r="AR48" s="12">
        <v>1</v>
      </c>
      <c r="AS48" s="12">
        <v>0</v>
      </c>
      <c r="AT48" s="12">
        <v>0</v>
      </c>
      <c r="AU48" s="12">
        <v>0</v>
      </c>
      <c r="AV48" s="12">
        <v>1</v>
      </c>
      <c r="AW48" s="12">
        <v>0</v>
      </c>
      <c r="AX48" s="30"/>
      <c r="AY48" s="35"/>
      <c r="AZ48" s="35"/>
      <c r="BA48" s="35"/>
      <c r="BB48" s="35"/>
      <c r="BC48" s="35"/>
      <c r="BD48" s="35"/>
      <c r="BG48" s="12">
        <v>0</v>
      </c>
      <c r="BH48" s="12">
        <v>1</v>
      </c>
      <c r="BI48" s="12">
        <v>0</v>
      </c>
      <c r="BJ48" s="12">
        <v>0</v>
      </c>
      <c r="BK48" s="12">
        <v>1</v>
      </c>
      <c r="BL48" s="10">
        <v>0</v>
      </c>
      <c r="BM48" s="12">
        <v>0</v>
      </c>
      <c r="BN48" s="30"/>
      <c r="BO48" s="35"/>
      <c r="BP48" s="35"/>
      <c r="BQ48" s="35"/>
      <c r="BR48" s="35"/>
      <c r="BS48" s="35"/>
      <c r="BT48" s="35"/>
      <c r="BU48" s="4">
        <v>0</v>
      </c>
      <c r="BV48" s="4">
        <v>1</v>
      </c>
      <c r="BW48" s="4">
        <v>1</v>
      </c>
      <c r="BX48" s="2">
        <v>1</v>
      </c>
      <c r="BY48" s="2">
        <v>1</v>
      </c>
      <c r="BZ48" s="2">
        <v>0</v>
      </c>
      <c r="CA48" s="2">
        <v>0</v>
      </c>
      <c r="CB48" s="30"/>
      <c r="CC48" s="35"/>
      <c r="CD48" s="35"/>
      <c r="CE48" s="35"/>
      <c r="CF48" s="35"/>
      <c r="CG48" s="35"/>
      <c r="CH48" s="35"/>
    </row>
    <row r="49" spans="1:86" x14ac:dyDescent="0.25">
      <c r="A49" s="13">
        <v>0</v>
      </c>
      <c r="B49" s="13">
        <v>0</v>
      </c>
      <c r="C49" s="12">
        <v>0</v>
      </c>
      <c r="D49" s="13">
        <v>0</v>
      </c>
      <c r="E49" s="13">
        <v>0</v>
      </c>
      <c r="F49" s="12">
        <v>0</v>
      </c>
      <c r="G49" s="12">
        <v>0</v>
      </c>
      <c r="H49" s="36" t="s">
        <v>48</v>
      </c>
      <c r="I49" s="37"/>
      <c r="J49" s="37"/>
      <c r="K49" s="37"/>
      <c r="L49" s="38">
        <v>209</v>
      </c>
      <c r="M49" s="38"/>
      <c r="N49" s="19">
        <v>130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2">
        <v>0</v>
      </c>
      <c r="U49" s="12">
        <v>0</v>
      </c>
      <c r="V49" s="36" t="s">
        <v>48</v>
      </c>
      <c r="W49" s="37"/>
      <c r="X49" s="37"/>
      <c r="Y49" s="37"/>
      <c r="Z49" s="38">
        <v>209</v>
      </c>
      <c r="AA49" s="38"/>
      <c r="AB49" s="19">
        <v>131</v>
      </c>
      <c r="AC49" s="12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2">
        <v>0</v>
      </c>
      <c r="AJ49" s="36" t="s">
        <v>48</v>
      </c>
      <c r="AK49" s="37"/>
      <c r="AL49" s="37"/>
      <c r="AM49" s="37"/>
      <c r="AN49" s="38">
        <v>209</v>
      </c>
      <c r="AO49" s="38"/>
      <c r="AP49" s="19">
        <v>132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36" t="s">
        <v>48</v>
      </c>
      <c r="AY49" s="37"/>
      <c r="AZ49" s="37"/>
      <c r="BA49" s="37"/>
      <c r="BB49" s="38">
        <v>209</v>
      </c>
      <c r="BC49" s="38"/>
      <c r="BD49" s="19">
        <v>133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0">
        <v>0</v>
      </c>
      <c r="BM49" s="12">
        <v>0</v>
      </c>
      <c r="BN49" s="36" t="s">
        <v>48</v>
      </c>
      <c r="BO49" s="37"/>
      <c r="BP49" s="37"/>
      <c r="BQ49" s="37"/>
      <c r="BR49" s="38">
        <v>0</v>
      </c>
      <c r="BS49" s="38"/>
      <c r="BT49" s="19">
        <v>107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36" t="s">
        <v>48</v>
      </c>
      <c r="CC49" s="37"/>
      <c r="CD49" s="37"/>
      <c r="CE49" s="37"/>
      <c r="CF49" s="38">
        <v>0</v>
      </c>
      <c r="CG49" s="38"/>
      <c r="CH49" s="19">
        <v>108</v>
      </c>
    </row>
    <row r="50" spans="1:86" s="4" customFormat="1" x14ac:dyDescent="0.25">
      <c r="A50" s="9">
        <v>1</v>
      </c>
      <c r="B50" s="9">
        <v>2</v>
      </c>
      <c r="C50" s="9">
        <v>3</v>
      </c>
      <c r="D50" s="9">
        <v>4</v>
      </c>
      <c r="E50" s="9">
        <v>5</v>
      </c>
      <c r="F50" s="9">
        <v>6</v>
      </c>
      <c r="G50" s="9">
        <v>7</v>
      </c>
      <c r="H50" s="39" t="s">
        <v>0</v>
      </c>
      <c r="I50" s="39"/>
      <c r="J50" s="39"/>
      <c r="K50" s="39"/>
      <c r="L50" s="40">
        <v>208</v>
      </c>
      <c r="M50" s="40"/>
      <c r="N50" s="15">
        <v>166</v>
      </c>
      <c r="O50" s="9">
        <v>1</v>
      </c>
      <c r="P50" s="9">
        <v>2</v>
      </c>
      <c r="Q50" s="9">
        <v>3</v>
      </c>
      <c r="R50" s="9">
        <v>4</v>
      </c>
      <c r="S50" s="9">
        <v>5</v>
      </c>
      <c r="T50" s="9">
        <v>6</v>
      </c>
      <c r="U50" s="9">
        <v>7</v>
      </c>
      <c r="V50" s="39" t="s">
        <v>0</v>
      </c>
      <c r="W50" s="39"/>
      <c r="X50" s="39"/>
      <c r="Y50" s="39"/>
      <c r="Z50" s="40">
        <v>208</v>
      </c>
      <c r="AA50" s="40"/>
      <c r="AB50" s="15">
        <v>167</v>
      </c>
      <c r="AC50" s="9">
        <v>1</v>
      </c>
      <c r="AD50" s="9">
        <v>2</v>
      </c>
      <c r="AE50" s="9">
        <v>3</v>
      </c>
      <c r="AF50" s="9">
        <v>4</v>
      </c>
      <c r="AG50" s="9">
        <v>5</v>
      </c>
      <c r="AH50" s="9">
        <v>6</v>
      </c>
      <c r="AI50" s="9">
        <v>7</v>
      </c>
      <c r="AJ50" s="39" t="s">
        <v>0</v>
      </c>
      <c r="AK50" s="39"/>
      <c r="AL50" s="39"/>
      <c r="AM50" s="39"/>
      <c r="AN50" s="40">
        <v>208</v>
      </c>
      <c r="AO50" s="40"/>
      <c r="AP50" s="15">
        <v>168</v>
      </c>
      <c r="AQ50" s="9">
        <v>1</v>
      </c>
      <c r="AR50" s="9">
        <v>2</v>
      </c>
      <c r="AS50" s="9">
        <v>3</v>
      </c>
      <c r="AT50" s="9">
        <v>4</v>
      </c>
      <c r="AU50" s="9">
        <v>5</v>
      </c>
      <c r="AV50" s="9">
        <v>6</v>
      </c>
      <c r="AW50" s="9">
        <v>7</v>
      </c>
      <c r="AX50" s="39" t="s">
        <v>0</v>
      </c>
      <c r="AY50" s="39"/>
      <c r="AZ50" s="39"/>
      <c r="BA50" s="39"/>
      <c r="BB50" s="40">
        <v>208</v>
      </c>
      <c r="BC50" s="40"/>
      <c r="BD50" s="15">
        <v>169</v>
      </c>
      <c r="BE50" s="20"/>
      <c r="BF50" s="20"/>
      <c r="BG50" s="9">
        <v>1</v>
      </c>
      <c r="BH50" s="9">
        <v>2</v>
      </c>
      <c r="BI50" s="9">
        <v>3</v>
      </c>
      <c r="BJ50" s="9">
        <v>4</v>
      </c>
      <c r="BK50" s="9">
        <v>5</v>
      </c>
      <c r="BL50" s="9">
        <v>6</v>
      </c>
      <c r="BM50" s="9">
        <v>7</v>
      </c>
      <c r="BN50" s="39" t="s">
        <v>0</v>
      </c>
      <c r="BO50" s="39"/>
      <c r="BP50" s="39"/>
      <c r="BQ50" s="39"/>
      <c r="BR50" s="40">
        <v>0</v>
      </c>
      <c r="BS50" s="40"/>
      <c r="BT50" s="15">
        <v>77</v>
      </c>
      <c r="BU50" s="9">
        <v>1</v>
      </c>
      <c r="BV50" s="9">
        <v>2</v>
      </c>
      <c r="BW50" s="9">
        <v>3</v>
      </c>
      <c r="BX50" s="9">
        <v>4</v>
      </c>
      <c r="BY50" s="9">
        <v>5</v>
      </c>
      <c r="BZ50" s="9">
        <v>6</v>
      </c>
      <c r="CA50" s="9">
        <v>7</v>
      </c>
      <c r="CB50" s="39" t="s">
        <v>0</v>
      </c>
      <c r="CC50" s="39"/>
      <c r="CD50" s="39"/>
      <c r="CE50" s="39"/>
      <c r="CF50" s="40">
        <v>0</v>
      </c>
      <c r="CG50" s="40"/>
      <c r="CH50" s="15">
        <v>78</v>
      </c>
    </row>
    <row r="51" spans="1:86" x14ac:dyDescent="0.25">
      <c r="A51" s="10">
        <v>0</v>
      </c>
      <c r="B51" s="10">
        <v>1</v>
      </c>
      <c r="C51" s="10">
        <v>0</v>
      </c>
      <c r="D51" s="10">
        <v>0</v>
      </c>
      <c r="E51" s="10">
        <v>1</v>
      </c>
      <c r="F51" s="10">
        <v>0</v>
      </c>
      <c r="G51" s="10">
        <v>0</v>
      </c>
      <c r="H51" s="11" t="str">
        <f>BIN2HEX(A57&amp;A56&amp;A55&amp;A54&amp;A53&amp;A52&amp;A51)</f>
        <v>0</v>
      </c>
      <c r="I51" s="11" t="str">
        <f>BIN2HEX(B57&amp;B56&amp;B55&amp;B54&amp;B53&amp;B52&amp;B51)</f>
        <v>3F</v>
      </c>
      <c r="J51" s="11" t="str">
        <f t="shared" ref="J51" si="180">BIN2HEX(C57&amp;C56&amp;C55&amp;C54&amp;C53&amp;C52&amp;C51)</f>
        <v>20</v>
      </c>
      <c r="K51" s="11" t="str">
        <f t="shared" ref="K51" si="181">BIN2HEX(D57&amp;D56&amp;D55&amp;D54&amp;D53&amp;D52&amp;D51)</f>
        <v>20</v>
      </c>
      <c r="L51" s="11" t="str">
        <f t="shared" ref="L51" si="182">BIN2HEX(E57&amp;E56&amp;E55&amp;E54&amp;E53&amp;E52&amp;E51)</f>
        <v>3F</v>
      </c>
      <c r="M51" s="11" t="str">
        <f t="shared" ref="M51" si="183">BIN2HEX(F57&amp;F56&amp;F55&amp;F54&amp;F53&amp;F52&amp;F51)</f>
        <v>60</v>
      </c>
      <c r="N51" s="11" t="str">
        <f t="shared" ref="N51" si="184">BIN2HEX(G57&amp;G56&amp;G55&amp;G54&amp;G53&amp;G52&amp;G51)</f>
        <v>0</v>
      </c>
      <c r="O51" s="10">
        <v>0</v>
      </c>
      <c r="P51" s="10">
        <v>1</v>
      </c>
      <c r="Q51" s="10">
        <v>0</v>
      </c>
      <c r="R51" s="10">
        <v>0</v>
      </c>
      <c r="S51" s="10">
        <v>1</v>
      </c>
      <c r="T51" s="10">
        <v>0</v>
      </c>
      <c r="U51" s="10">
        <v>0</v>
      </c>
      <c r="V51" s="11" t="str">
        <f>BIN2HEX(O57&amp;O56&amp;O55&amp;O54&amp;O53&amp;O52&amp;O51)</f>
        <v>0</v>
      </c>
      <c r="W51" s="11" t="str">
        <f>BIN2HEX(P57&amp;P56&amp;P55&amp;P54&amp;P53&amp;P52&amp;P51)</f>
        <v>F</v>
      </c>
      <c r="X51" s="11" t="str">
        <f t="shared" ref="X51" si="185">BIN2HEX(Q57&amp;Q56&amp;Q55&amp;Q54&amp;Q53&amp;Q52&amp;Q51)</f>
        <v>8</v>
      </c>
      <c r="Y51" s="11" t="str">
        <f t="shared" ref="Y51" si="186">BIN2HEX(R57&amp;R56&amp;R55&amp;R54&amp;R53&amp;R52&amp;R51)</f>
        <v>8</v>
      </c>
      <c r="Z51" s="11" t="str">
        <f t="shared" ref="Z51" si="187">BIN2HEX(S57&amp;S56&amp;S55&amp;S54&amp;S53&amp;S52&amp;S51)</f>
        <v>3F</v>
      </c>
      <c r="AA51" s="11" t="str">
        <f t="shared" ref="AA51" si="188">BIN2HEX(T57&amp;T56&amp;T55&amp;T54&amp;T53&amp;T52&amp;T51)</f>
        <v>0</v>
      </c>
      <c r="AB51" s="11" t="str">
        <f t="shared" ref="AB51" si="189">BIN2HEX(U57&amp;U56&amp;U55&amp;U54&amp;U53&amp;U52&amp;U51)</f>
        <v>0</v>
      </c>
      <c r="AC51" s="10">
        <v>0</v>
      </c>
      <c r="AD51" s="10">
        <v>1</v>
      </c>
      <c r="AE51" s="10">
        <v>0</v>
      </c>
      <c r="AF51" s="10">
        <v>1</v>
      </c>
      <c r="AG51" s="10">
        <v>0</v>
      </c>
      <c r="AH51" s="10">
        <v>1</v>
      </c>
      <c r="AI51" s="10">
        <v>0</v>
      </c>
      <c r="AJ51" s="11" t="str">
        <f>BIN2HEX(AC57&amp;AC56&amp;AC55&amp;AC54&amp;AC53&amp;AC52&amp;AC51)</f>
        <v>0</v>
      </c>
      <c r="AK51" s="11" t="str">
        <f>BIN2HEX(AD57&amp;AD56&amp;AD55&amp;AD54&amp;AD53&amp;AD52&amp;AD51)</f>
        <v>3F</v>
      </c>
      <c r="AL51" s="11" t="str">
        <f t="shared" ref="AL51" si="190">BIN2HEX(AE57&amp;AE56&amp;AE55&amp;AE54&amp;AE53&amp;AE52&amp;AE51)</f>
        <v>20</v>
      </c>
      <c r="AM51" s="11" t="str">
        <f t="shared" ref="AM51" si="191">BIN2HEX(AF57&amp;AF56&amp;AF55&amp;AF54&amp;AF53&amp;AF52&amp;AF51)</f>
        <v>3F</v>
      </c>
      <c r="AN51" s="11" t="str">
        <f t="shared" ref="AN51" si="192">BIN2HEX(AG57&amp;AG56&amp;AG55&amp;AG54&amp;AG53&amp;AG52&amp;AG51)</f>
        <v>20</v>
      </c>
      <c r="AO51" s="11" t="str">
        <f t="shared" ref="AO51" si="193">BIN2HEX(AH57&amp;AH56&amp;AH55&amp;AH54&amp;AH53&amp;AH52&amp;AH51)</f>
        <v>3F</v>
      </c>
      <c r="AP51" s="11" t="str">
        <f t="shared" ref="AP51" si="194">BIN2HEX(AI57&amp;AI56&amp;AI55&amp;AI54&amp;AI53&amp;AI52&amp;AI51)</f>
        <v>0</v>
      </c>
      <c r="AQ51" s="10">
        <v>0</v>
      </c>
      <c r="AR51" s="10">
        <v>1</v>
      </c>
      <c r="AS51" s="10">
        <v>0</v>
      </c>
      <c r="AT51" s="10">
        <v>1</v>
      </c>
      <c r="AU51" s="10">
        <v>0</v>
      </c>
      <c r="AV51" s="10">
        <v>1</v>
      </c>
      <c r="AW51" s="10">
        <v>0</v>
      </c>
      <c r="AX51" s="11" t="str">
        <f>BIN2HEX(AQ57&amp;AQ56&amp;AQ55&amp;AQ54&amp;AQ53&amp;AQ52&amp;AQ51)</f>
        <v>0</v>
      </c>
      <c r="AY51" s="11" t="str">
        <f>BIN2HEX(AR57&amp;AR56&amp;AR55&amp;AR54&amp;AR53&amp;AR52&amp;AR51)</f>
        <v>3F</v>
      </c>
      <c r="AZ51" s="11" t="str">
        <f t="shared" ref="AZ51" si="195">BIN2HEX(AS57&amp;AS56&amp;AS55&amp;AS54&amp;AS53&amp;AS52&amp;AS51)</f>
        <v>20</v>
      </c>
      <c r="BA51" s="11" t="str">
        <f t="shared" ref="BA51" si="196">BIN2HEX(AT57&amp;AT56&amp;AT55&amp;AT54&amp;AT53&amp;AT52&amp;AT51)</f>
        <v>3F</v>
      </c>
      <c r="BB51" s="11" t="str">
        <f t="shared" ref="BB51" si="197">BIN2HEX(AU57&amp;AU56&amp;AU55&amp;AU54&amp;AU53&amp;AU52&amp;AU51)</f>
        <v>20</v>
      </c>
      <c r="BC51" s="11" t="str">
        <f t="shared" ref="BC51" si="198">BIN2HEX(AV57&amp;AV56&amp;AV55&amp;AV54&amp;AV53&amp;AV52&amp;AV51)</f>
        <v>3F</v>
      </c>
      <c r="BD51" s="11" t="str">
        <f t="shared" ref="BD51" si="199">BIN2HEX(AW57&amp;AW56&amp;AW55&amp;AW54&amp;AW53&amp;AW52&amp;AW51)</f>
        <v>60</v>
      </c>
      <c r="BG51" s="12">
        <v>0</v>
      </c>
      <c r="BH51" s="12">
        <v>1</v>
      </c>
      <c r="BI51" s="12">
        <v>0</v>
      </c>
      <c r="BJ51" s="12">
        <v>0</v>
      </c>
      <c r="BK51" s="12">
        <v>0</v>
      </c>
      <c r="BL51" s="12">
        <v>1</v>
      </c>
      <c r="BM51" s="12">
        <v>0</v>
      </c>
      <c r="BN51" s="11" t="str">
        <f>BIN2HEX(BG57&amp;BG56&amp;BG55&amp;BG54&amp;BG53&amp;BG52&amp;BG51)</f>
        <v>0</v>
      </c>
      <c r="BO51" s="11" t="str">
        <f>BIN2HEX(BH57&amp;BH56&amp;BH55&amp;BH54&amp;BH53&amp;BH52&amp;BH51)</f>
        <v>3F</v>
      </c>
      <c r="BP51" s="11" t="str">
        <f t="shared" ref="BP51" si="200">BIN2HEX(BI57&amp;BI56&amp;BI55&amp;BI54&amp;BI53&amp;BI52&amp;BI51)</f>
        <v>6</v>
      </c>
      <c r="BQ51" s="11" t="str">
        <f t="shared" ref="BQ51" si="201">BIN2HEX(BJ57&amp;BJ56&amp;BJ55&amp;BJ54&amp;BJ53&amp;BJ52&amp;BJ51)</f>
        <v>18</v>
      </c>
      <c r="BR51" s="11" t="str">
        <f t="shared" ref="BR51" si="202">BIN2HEX(BK57&amp;BK56&amp;BK55&amp;BK54&amp;BK53&amp;BK52&amp;BK51)</f>
        <v>6</v>
      </c>
      <c r="BS51" s="11" t="str">
        <f t="shared" ref="BS51" si="203">BIN2HEX(BL57&amp;BL56&amp;BL55&amp;BL54&amp;BL53&amp;BL52&amp;BL51)</f>
        <v>3F</v>
      </c>
      <c r="BT51" s="11" t="str">
        <f t="shared" ref="BT51" si="204">BIN2HEX(BM57&amp;BM56&amp;BM55&amp;BM54&amp;BM53&amp;BM52&amp;BM51)</f>
        <v>0</v>
      </c>
      <c r="BU51" s="10">
        <v>0</v>
      </c>
      <c r="BV51" s="10">
        <v>1</v>
      </c>
      <c r="BW51" s="10">
        <v>0</v>
      </c>
      <c r="BX51" s="10">
        <v>0</v>
      </c>
      <c r="BY51" s="10">
        <v>1</v>
      </c>
      <c r="BZ51" s="10">
        <v>0</v>
      </c>
      <c r="CA51" s="10">
        <v>0</v>
      </c>
      <c r="CB51" s="11" t="str">
        <f>BIN2HEX(BU57&amp;BU56&amp;BU55&amp;BU54&amp;BU53&amp;BU52&amp;BU51)</f>
        <v>0</v>
      </c>
      <c r="CC51" s="11" t="str">
        <f>BIN2HEX(BV57&amp;BV56&amp;BV55&amp;BV54&amp;BV53&amp;BV52&amp;BV51)</f>
        <v>3F</v>
      </c>
      <c r="CD51" s="11" t="str">
        <f t="shared" ref="CD51" si="205">BIN2HEX(BW57&amp;BW56&amp;BW55&amp;BW54&amp;BW53&amp;BW52&amp;BW51)</f>
        <v>4</v>
      </c>
      <c r="CE51" s="11" t="str">
        <f t="shared" ref="CE51" si="206">BIN2HEX(BX57&amp;BX56&amp;BX55&amp;BX54&amp;BX53&amp;BX52&amp;BX51)</f>
        <v>8</v>
      </c>
      <c r="CF51" s="11" t="str">
        <f t="shared" ref="CF51" si="207">BIN2HEX(BY57&amp;BY56&amp;BY55&amp;BY54&amp;BY53&amp;BY52&amp;BY51)</f>
        <v>3F</v>
      </c>
      <c r="CG51" s="11" t="str">
        <f t="shared" ref="CG51" si="208">BIN2HEX(BZ57&amp;BZ56&amp;BZ55&amp;BZ54&amp;BZ53&amp;BZ52&amp;BZ51)</f>
        <v>0</v>
      </c>
      <c r="CH51" s="11" t="str">
        <f t="shared" ref="CH51" si="209">BIN2HEX(CA57&amp;CA56&amp;CA55&amp;CA54&amp;CA53&amp;CA52&amp;CA51)</f>
        <v>0</v>
      </c>
    </row>
    <row r="52" spans="1:86" ht="15" customHeight="1" x14ac:dyDescent="0.25">
      <c r="A52" s="12">
        <v>0</v>
      </c>
      <c r="B52" s="12">
        <v>1</v>
      </c>
      <c r="C52" s="12">
        <v>0</v>
      </c>
      <c r="D52" s="10">
        <v>0</v>
      </c>
      <c r="E52" s="12">
        <v>1</v>
      </c>
      <c r="F52" s="12">
        <v>0</v>
      </c>
      <c r="G52" s="10">
        <v>0</v>
      </c>
      <c r="H52" s="34" t="str">
        <f>"0x"&amp;H51&amp;", 0x"&amp;I51&amp;", 0x"&amp;J51&amp;", 0x"&amp;K51&amp;", 0x"&amp;L51&amp;", 0x"&amp;M51&amp;", 0x"&amp;N51</f>
        <v>0x0, 0x3F, 0x20, 0x20, 0x3F, 0x60, 0x0</v>
      </c>
      <c r="I52" s="35"/>
      <c r="J52" s="35"/>
      <c r="K52" s="35"/>
      <c r="L52" s="35"/>
      <c r="M52" s="35"/>
      <c r="N52" s="35"/>
      <c r="O52" s="10">
        <v>0</v>
      </c>
      <c r="P52" s="12">
        <v>1</v>
      </c>
      <c r="Q52" s="12">
        <v>0</v>
      </c>
      <c r="R52" s="10">
        <v>0</v>
      </c>
      <c r="S52" s="10">
        <v>1</v>
      </c>
      <c r="T52" s="12">
        <v>0</v>
      </c>
      <c r="U52" s="12">
        <v>0</v>
      </c>
      <c r="V52" s="34" t="str">
        <f>"0x"&amp;V51&amp;", 0x"&amp;W51&amp;", 0x"&amp;X51&amp;", 0x"&amp;Y51&amp;", 0x"&amp;Z51&amp;", 0x"&amp;AA51&amp;", 0x"&amp;AB51</f>
        <v>0x0, 0xF, 0x8, 0x8, 0x3F, 0x0, 0x0</v>
      </c>
      <c r="W52" s="35"/>
      <c r="X52" s="35"/>
      <c r="Y52" s="35"/>
      <c r="Z52" s="35"/>
      <c r="AA52" s="35"/>
      <c r="AB52" s="35"/>
      <c r="AC52" s="12">
        <v>0</v>
      </c>
      <c r="AD52" s="12">
        <v>1</v>
      </c>
      <c r="AE52" s="12">
        <v>0</v>
      </c>
      <c r="AF52" s="12">
        <v>1</v>
      </c>
      <c r="AG52" s="12">
        <v>0</v>
      </c>
      <c r="AH52" s="12">
        <v>1</v>
      </c>
      <c r="AI52" s="12">
        <v>0</v>
      </c>
      <c r="AJ52" s="34" t="str">
        <f>"0x"&amp;AJ51&amp;", 0x"&amp;AK51&amp;", 0x"&amp;AL51&amp;", 0x"&amp;AM51&amp;", 0x"&amp;AN51&amp;", 0x"&amp;AO51&amp;", 0x"&amp;AP51</f>
        <v>0x0, 0x3F, 0x20, 0x3F, 0x20, 0x3F, 0x0</v>
      </c>
      <c r="AK52" s="35"/>
      <c r="AL52" s="35"/>
      <c r="AM52" s="35"/>
      <c r="AN52" s="35"/>
      <c r="AO52" s="35"/>
      <c r="AP52" s="35"/>
      <c r="AQ52" s="12">
        <v>0</v>
      </c>
      <c r="AR52" s="12">
        <v>1</v>
      </c>
      <c r="AS52" s="12">
        <v>0</v>
      </c>
      <c r="AT52" s="12">
        <v>1</v>
      </c>
      <c r="AU52" s="12">
        <v>0</v>
      </c>
      <c r="AV52" s="12">
        <v>1</v>
      </c>
      <c r="AW52" s="12">
        <v>0</v>
      </c>
      <c r="AX52" s="34" t="str">
        <f>"0x"&amp;AX51&amp;", 0x"&amp;AY51&amp;", 0x"&amp;AZ51&amp;", 0x"&amp;BA51&amp;", 0x"&amp;BB51&amp;", 0x"&amp;BC51&amp;", 0x"&amp;BD51</f>
        <v>0x0, 0x3F, 0x20, 0x3F, 0x20, 0x3F, 0x60</v>
      </c>
      <c r="AY52" s="35"/>
      <c r="AZ52" s="35"/>
      <c r="BA52" s="35"/>
      <c r="BB52" s="35"/>
      <c r="BC52" s="35"/>
      <c r="BD52" s="35"/>
      <c r="BG52" s="12">
        <v>0</v>
      </c>
      <c r="BH52" s="12">
        <v>1</v>
      </c>
      <c r="BI52" s="12">
        <v>1</v>
      </c>
      <c r="BJ52" s="12">
        <v>0</v>
      </c>
      <c r="BK52" s="12">
        <v>1</v>
      </c>
      <c r="BL52" s="12">
        <v>1</v>
      </c>
      <c r="BM52" s="12">
        <v>0</v>
      </c>
      <c r="BN52" s="34" t="str">
        <f>"0x"&amp;BN51&amp;", 0x"&amp;BO51&amp;", 0x"&amp;BP51&amp;", 0x"&amp;BQ51&amp;", 0x"&amp;BR51&amp;", 0x"&amp;BS51&amp;", 0x"&amp;BT51</f>
        <v>0x0, 0x3F, 0x6, 0x18, 0x6, 0x3F, 0x0</v>
      </c>
      <c r="BO52" s="35"/>
      <c r="BP52" s="35"/>
      <c r="BQ52" s="35"/>
      <c r="BR52" s="35"/>
      <c r="BS52" s="35"/>
      <c r="BT52" s="35"/>
      <c r="BU52" s="12">
        <v>0</v>
      </c>
      <c r="BV52" s="12">
        <v>1</v>
      </c>
      <c r="BW52" s="12">
        <v>0</v>
      </c>
      <c r="BX52" s="12">
        <v>0</v>
      </c>
      <c r="BY52" s="12">
        <v>1</v>
      </c>
      <c r="BZ52" s="12">
        <v>0</v>
      </c>
      <c r="CA52" s="12">
        <v>0</v>
      </c>
      <c r="CB52" s="34" t="str">
        <f>"0x"&amp;CB51&amp;", 0x"&amp;CC51&amp;", 0x"&amp;CD51&amp;", 0x"&amp;CE51&amp;", 0x"&amp;CF51&amp;", 0x"&amp;CG51&amp;", 0x"&amp;CH51</f>
        <v>0x0, 0x3F, 0x4, 0x8, 0x3F, 0x0, 0x0</v>
      </c>
      <c r="CC52" s="35"/>
      <c r="CD52" s="35"/>
      <c r="CE52" s="35"/>
      <c r="CF52" s="35"/>
      <c r="CG52" s="35"/>
      <c r="CH52" s="35"/>
    </row>
    <row r="53" spans="1:86" x14ac:dyDescent="0.25">
      <c r="A53" s="12">
        <v>0</v>
      </c>
      <c r="B53" s="12">
        <v>1</v>
      </c>
      <c r="C53" s="12">
        <v>0</v>
      </c>
      <c r="D53" s="10">
        <v>0</v>
      </c>
      <c r="E53" s="12">
        <v>1</v>
      </c>
      <c r="F53" s="12">
        <v>0</v>
      </c>
      <c r="G53" s="10">
        <v>0</v>
      </c>
      <c r="H53" s="34"/>
      <c r="I53" s="35"/>
      <c r="J53" s="35"/>
      <c r="K53" s="35"/>
      <c r="L53" s="35"/>
      <c r="M53" s="35"/>
      <c r="N53" s="35"/>
      <c r="O53" s="10">
        <v>0</v>
      </c>
      <c r="P53" s="12">
        <v>1</v>
      </c>
      <c r="Q53" s="12">
        <v>0</v>
      </c>
      <c r="R53" s="10">
        <v>0</v>
      </c>
      <c r="S53" s="10">
        <v>1</v>
      </c>
      <c r="T53" s="12">
        <v>0</v>
      </c>
      <c r="U53" s="12">
        <v>0</v>
      </c>
      <c r="V53" s="34"/>
      <c r="W53" s="35"/>
      <c r="X53" s="35"/>
      <c r="Y53" s="35"/>
      <c r="Z53" s="35"/>
      <c r="AA53" s="35"/>
      <c r="AB53" s="35"/>
      <c r="AC53" s="12">
        <v>0</v>
      </c>
      <c r="AD53" s="12">
        <v>1</v>
      </c>
      <c r="AE53" s="12">
        <v>0</v>
      </c>
      <c r="AF53" s="12">
        <v>1</v>
      </c>
      <c r="AG53" s="12">
        <v>0</v>
      </c>
      <c r="AH53" s="12">
        <v>1</v>
      </c>
      <c r="AI53" s="12">
        <v>0</v>
      </c>
      <c r="AJ53" s="34"/>
      <c r="AK53" s="35"/>
      <c r="AL53" s="35"/>
      <c r="AM53" s="35"/>
      <c r="AN53" s="35"/>
      <c r="AO53" s="35"/>
      <c r="AP53" s="35"/>
      <c r="AQ53" s="12">
        <v>0</v>
      </c>
      <c r="AR53" s="12">
        <v>1</v>
      </c>
      <c r="AS53" s="12">
        <v>0</v>
      </c>
      <c r="AT53" s="12">
        <v>1</v>
      </c>
      <c r="AU53" s="12">
        <v>0</v>
      </c>
      <c r="AV53" s="12">
        <v>1</v>
      </c>
      <c r="AW53" s="12">
        <v>0</v>
      </c>
      <c r="AX53" s="34"/>
      <c r="AY53" s="35"/>
      <c r="AZ53" s="35"/>
      <c r="BA53" s="35"/>
      <c r="BB53" s="35"/>
      <c r="BC53" s="35"/>
      <c r="BD53" s="35"/>
      <c r="BG53" s="12">
        <v>0</v>
      </c>
      <c r="BH53" s="12">
        <v>1</v>
      </c>
      <c r="BI53" s="12">
        <v>1</v>
      </c>
      <c r="BJ53" s="12">
        <v>0</v>
      </c>
      <c r="BK53" s="12">
        <v>1</v>
      </c>
      <c r="BL53" s="12">
        <v>1</v>
      </c>
      <c r="BM53" s="12">
        <v>0</v>
      </c>
      <c r="BN53" s="34"/>
      <c r="BO53" s="35"/>
      <c r="BP53" s="35"/>
      <c r="BQ53" s="35"/>
      <c r="BR53" s="35"/>
      <c r="BS53" s="35"/>
      <c r="BT53" s="35"/>
      <c r="BU53" s="12">
        <v>0</v>
      </c>
      <c r="BV53" s="12">
        <v>1</v>
      </c>
      <c r="BW53" s="12">
        <v>1</v>
      </c>
      <c r="BX53" s="12">
        <v>0</v>
      </c>
      <c r="BY53" s="12">
        <v>1</v>
      </c>
      <c r="BZ53" s="12">
        <v>0</v>
      </c>
      <c r="CA53" s="12">
        <v>0</v>
      </c>
      <c r="CB53" s="34"/>
      <c r="CC53" s="35"/>
      <c r="CD53" s="35"/>
      <c r="CE53" s="35"/>
      <c r="CF53" s="35"/>
      <c r="CG53" s="35"/>
      <c r="CH53" s="35"/>
    </row>
    <row r="54" spans="1:86" x14ac:dyDescent="0.25">
      <c r="A54" s="12">
        <v>0</v>
      </c>
      <c r="B54" s="12">
        <v>1</v>
      </c>
      <c r="C54" s="12">
        <v>0</v>
      </c>
      <c r="D54" s="10">
        <v>0</v>
      </c>
      <c r="E54" s="12">
        <v>1</v>
      </c>
      <c r="F54" s="12">
        <v>0</v>
      </c>
      <c r="G54" s="10">
        <v>0</v>
      </c>
      <c r="H54" s="36" t="s">
        <v>22</v>
      </c>
      <c r="I54" s="37"/>
      <c r="J54" s="37"/>
      <c r="K54" s="37"/>
      <c r="L54" s="37"/>
      <c r="M54" s="37"/>
      <c r="N54" s="37"/>
      <c r="O54" s="10">
        <v>0</v>
      </c>
      <c r="P54" s="12">
        <v>1</v>
      </c>
      <c r="Q54" s="12">
        <v>1</v>
      </c>
      <c r="R54" s="10">
        <v>1</v>
      </c>
      <c r="S54" s="10">
        <v>1</v>
      </c>
      <c r="T54" s="12">
        <v>0</v>
      </c>
      <c r="U54" s="12">
        <v>0</v>
      </c>
      <c r="V54" s="36" t="s">
        <v>23</v>
      </c>
      <c r="W54" s="37"/>
      <c r="X54" s="37"/>
      <c r="Y54" s="37"/>
      <c r="Z54" s="37"/>
      <c r="AA54" s="37"/>
      <c r="AB54" s="37"/>
      <c r="AC54" s="12">
        <v>0</v>
      </c>
      <c r="AD54" s="12">
        <v>1</v>
      </c>
      <c r="AE54" s="12">
        <v>0</v>
      </c>
      <c r="AF54" s="12">
        <v>1</v>
      </c>
      <c r="AG54" s="12">
        <v>0</v>
      </c>
      <c r="AH54" s="12">
        <v>1</v>
      </c>
      <c r="AI54" s="12">
        <v>0</v>
      </c>
      <c r="AJ54" s="36" t="s">
        <v>24</v>
      </c>
      <c r="AK54" s="37"/>
      <c r="AL54" s="37"/>
      <c r="AM54" s="37"/>
      <c r="AN54" s="37"/>
      <c r="AO54" s="37"/>
      <c r="AP54" s="37"/>
      <c r="AQ54" s="12">
        <v>0</v>
      </c>
      <c r="AR54" s="12">
        <v>1</v>
      </c>
      <c r="AS54" s="12">
        <v>0</v>
      </c>
      <c r="AT54" s="12">
        <v>1</v>
      </c>
      <c r="AU54" s="12">
        <v>0</v>
      </c>
      <c r="AV54" s="12">
        <v>1</v>
      </c>
      <c r="AW54" s="12">
        <v>0</v>
      </c>
      <c r="AX54" s="36" t="s">
        <v>25</v>
      </c>
      <c r="AY54" s="37"/>
      <c r="AZ54" s="37"/>
      <c r="BA54" s="37"/>
      <c r="BB54" s="37"/>
      <c r="BC54" s="37"/>
      <c r="BD54" s="37"/>
      <c r="BG54" s="12">
        <v>0</v>
      </c>
      <c r="BH54" s="12">
        <v>1</v>
      </c>
      <c r="BI54" s="12">
        <v>0</v>
      </c>
      <c r="BJ54" s="12">
        <v>1</v>
      </c>
      <c r="BK54" s="12">
        <v>0</v>
      </c>
      <c r="BL54" s="12">
        <v>1</v>
      </c>
      <c r="BM54" s="12">
        <v>0</v>
      </c>
      <c r="BN54" s="36" t="s">
        <v>66</v>
      </c>
      <c r="BO54" s="37"/>
      <c r="BP54" s="37"/>
      <c r="BQ54" s="37"/>
      <c r="BR54" s="37"/>
      <c r="BS54" s="37"/>
      <c r="BT54" s="37"/>
      <c r="BU54" s="12">
        <v>0</v>
      </c>
      <c r="BV54" s="12">
        <v>1</v>
      </c>
      <c r="BW54" s="12">
        <v>0</v>
      </c>
      <c r="BX54" s="12">
        <v>1</v>
      </c>
      <c r="BY54" s="12">
        <v>1</v>
      </c>
      <c r="BZ54" s="12">
        <v>0</v>
      </c>
      <c r="CA54" s="12">
        <v>0</v>
      </c>
      <c r="CB54" s="36" t="s">
        <v>67</v>
      </c>
      <c r="CC54" s="37"/>
      <c r="CD54" s="37"/>
      <c r="CE54" s="37"/>
      <c r="CF54" s="37"/>
      <c r="CG54" s="37"/>
      <c r="CH54" s="37"/>
    </row>
    <row r="55" spans="1:86" ht="15" customHeight="1" x14ac:dyDescent="0.25">
      <c r="A55" s="12">
        <v>0</v>
      </c>
      <c r="B55" s="12">
        <v>1</v>
      </c>
      <c r="C55" s="12">
        <v>0</v>
      </c>
      <c r="D55" s="10">
        <v>0</v>
      </c>
      <c r="E55" s="12">
        <v>1</v>
      </c>
      <c r="F55" s="12">
        <v>0</v>
      </c>
      <c r="G55" s="10">
        <v>0</v>
      </c>
      <c r="H55" s="30" t="str">
        <f>"{{"&amp;H52&amp;"}"&amp;", "&amp;$H$1&amp;"},  //"&amp;H54&amp;":"&amp;L50&amp;":"&amp;N50</f>
        <v>{{0x0, 0x3F, 0x20, 0x20, 0x3F, 0x60, 0x0}, 7},  //Ц:208:166</v>
      </c>
      <c r="I55" s="35"/>
      <c r="J55" s="35"/>
      <c r="K55" s="35"/>
      <c r="L55" s="35"/>
      <c r="M55" s="35"/>
      <c r="N55" s="35"/>
      <c r="O55" s="12">
        <v>0</v>
      </c>
      <c r="P55" s="12">
        <v>0</v>
      </c>
      <c r="Q55" s="12">
        <v>0</v>
      </c>
      <c r="R55" s="10">
        <v>0</v>
      </c>
      <c r="S55" s="10">
        <v>1</v>
      </c>
      <c r="T55" s="12">
        <v>0</v>
      </c>
      <c r="U55" s="12">
        <v>0</v>
      </c>
      <c r="V55" s="30" t="str">
        <f>"{{"&amp;V52&amp;"}"&amp;", "&amp;$H$1&amp;"},  //"&amp;V54&amp;":"&amp;Z50&amp;":"&amp;AB50</f>
        <v>{{0x0, 0xF, 0x8, 0x8, 0x3F, 0x0, 0x0}, 7},  //Ч:208:167</v>
      </c>
      <c r="W55" s="35"/>
      <c r="X55" s="35"/>
      <c r="Y55" s="35"/>
      <c r="Z55" s="35"/>
      <c r="AA55" s="35"/>
      <c r="AB55" s="35"/>
      <c r="AC55" s="12">
        <v>0</v>
      </c>
      <c r="AD55" s="12">
        <v>1</v>
      </c>
      <c r="AE55" s="12">
        <v>0</v>
      </c>
      <c r="AF55" s="12">
        <v>1</v>
      </c>
      <c r="AG55" s="12">
        <v>0</v>
      </c>
      <c r="AH55" s="12">
        <v>1</v>
      </c>
      <c r="AI55" s="12">
        <v>0</v>
      </c>
      <c r="AJ55" s="30" t="str">
        <f>"{{"&amp;AJ52&amp;"}"&amp;", "&amp;$H$1&amp;"},  //"&amp;AJ54&amp;":"&amp;AN50&amp;":"&amp;AP50</f>
        <v>{{0x0, 0x3F, 0x20, 0x3F, 0x20, 0x3F, 0x0}, 7},  //Ш:208:168</v>
      </c>
      <c r="AK55" s="35"/>
      <c r="AL55" s="35"/>
      <c r="AM55" s="35"/>
      <c r="AN55" s="35"/>
      <c r="AO55" s="35"/>
      <c r="AP55" s="35"/>
      <c r="AQ55" s="12">
        <v>0</v>
      </c>
      <c r="AR55" s="12">
        <v>1</v>
      </c>
      <c r="AS55" s="12">
        <v>0</v>
      </c>
      <c r="AT55" s="12">
        <v>1</v>
      </c>
      <c r="AU55" s="12">
        <v>0</v>
      </c>
      <c r="AV55" s="12">
        <v>1</v>
      </c>
      <c r="AW55" s="12">
        <v>0</v>
      </c>
      <c r="AX55" s="30" t="str">
        <f>"{{"&amp;AX52&amp;"}"&amp;", "&amp;$H$1&amp;"},  //"&amp;AX54&amp;":"&amp;BB50&amp;":"&amp;BD50</f>
        <v>{{0x0, 0x3F, 0x20, 0x3F, 0x20, 0x3F, 0x60}, 7},  //Щ:208:169</v>
      </c>
      <c r="AY55" s="35"/>
      <c r="AZ55" s="35"/>
      <c r="BA55" s="35"/>
      <c r="BB55" s="35"/>
      <c r="BC55" s="35"/>
      <c r="BD55" s="35"/>
      <c r="BG55" s="12">
        <v>0</v>
      </c>
      <c r="BH55" s="12">
        <v>1</v>
      </c>
      <c r="BI55" s="12">
        <v>0</v>
      </c>
      <c r="BJ55" s="12">
        <v>1</v>
      </c>
      <c r="BK55" s="12">
        <v>0</v>
      </c>
      <c r="BL55" s="12">
        <v>1</v>
      </c>
      <c r="BM55" s="12">
        <v>0</v>
      </c>
      <c r="BN55" s="30" t="str">
        <f>"{{"&amp;BN52&amp;"}"&amp;", "&amp;$H$1&amp;"},  //"&amp;BN54&amp;":"&amp;BR50&amp;":"&amp;BT50</f>
        <v>{{0x0, 0x3F, 0x6, 0x18, 0x6, 0x3F, 0x0}, 7},  //M:0:77</v>
      </c>
      <c r="BO55" s="35"/>
      <c r="BP55" s="35"/>
      <c r="BQ55" s="35"/>
      <c r="BR55" s="35"/>
      <c r="BS55" s="35"/>
      <c r="BT55" s="35"/>
      <c r="BU55" s="12">
        <v>0</v>
      </c>
      <c r="BV55" s="12">
        <v>1</v>
      </c>
      <c r="BW55" s="12">
        <v>0</v>
      </c>
      <c r="BX55" s="12">
        <v>0</v>
      </c>
      <c r="BY55" s="12">
        <v>1</v>
      </c>
      <c r="BZ55" s="12">
        <v>0</v>
      </c>
      <c r="CA55" s="12">
        <v>0</v>
      </c>
      <c r="CB55" s="30" t="str">
        <f>"{{"&amp;CB52&amp;"}"&amp;", "&amp;$H$1&amp;"},  //"&amp;CB54&amp;":"&amp;CF50&amp;":"&amp;CH50</f>
        <v>{{0x0, 0x3F, 0x4, 0x8, 0x3F, 0x0, 0x0}, 7},  //N:0:78</v>
      </c>
      <c r="CC55" s="35"/>
      <c r="CD55" s="35"/>
      <c r="CE55" s="35"/>
      <c r="CF55" s="35"/>
      <c r="CG55" s="35"/>
      <c r="CH55" s="35"/>
    </row>
    <row r="56" spans="1:86" x14ac:dyDescent="0.25">
      <c r="A56" s="12">
        <v>0</v>
      </c>
      <c r="B56" s="12">
        <v>1</v>
      </c>
      <c r="C56" s="12">
        <v>1</v>
      </c>
      <c r="D56" s="12">
        <v>1</v>
      </c>
      <c r="E56" s="12">
        <v>1</v>
      </c>
      <c r="F56" s="12">
        <v>1</v>
      </c>
      <c r="G56" s="10">
        <v>0</v>
      </c>
      <c r="H56" s="30"/>
      <c r="I56" s="35"/>
      <c r="J56" s="35"/>
      <c r="K56" s="35"/>
      <c r="L56" s="35"/>
      <c r="M56" s="35"/>
      <c r="N56" s="35"/>
      <c r="O56" s="12">
        <v>0</v>
      </c>
      <c r="P56" s="12">
        <v>0</v>
      </c>
      <c r="Q56" s="12">
        <v>0</v>
      </c>
      <c r="R56" s="10">
        <v>0</v>
      </c>
      <c r="S56" s="10">
        <v>1</v>
      </c>
      <c r="T56" s="12">
        <v>0</v>
      </c>
      <c r="U56" s="12">
        <v>0</v>
      </c>
      <c r="V56" s="30"/>
      <c r="W56" s="35"/>
      <c r="X56" s="35"/>
      <c r="Y56" s="35"/>
      <c r="Z56" s="35"/>
      <c r="AA56" s="35"/>
      <c r="AB56" s="35"/>
      <c r="AC56" s="12">
        <v>0</v>
      </c>
      <c r="AD56" s="12">
        <v>1</v>
      </c>
      <c r="AE56" s="12">
        <v>1</v>
      </c>
      <c r="AF56" s="12">
        <v>1</v>
      </c>
      <c r="AG56" s="12">
        <v>1</v>
      </c>
      <c r="AH56" s="12">
        <v>1</v>
      </c>
      <c r="AI56" s="12">
        <v>0</v>
      </c>
      <c r="AJ56" s="30"/>
      <c r="AK56" s="35"/>
      <c r="AL56" s="35"/>
      <c r="AM56" s="35"/>
      <c r="AN56" s="35"/>
      <c r="AO56" s="35"/>
      <c r="AP56" s="35"/>
      <c r="AQ56" s="12">
        <v>0</v>
      </c>
      <c r="AR56" s="12">
        <v>1</v>
      </c>
      <c r="AS56" s="12">
        <v>1</v>
      </c>
      <c r="AT56" s="12">
        <v>1</v>
      </c>
      <c r="AU56" s="12">
        <v>1</v>
      </c>
      <c r="AV56" s="12">
        <v>1</v>
      </c>
      <c r="AW56" s="12">
        <v>1</v>
      </c>
      <c r="AX56" s="30"/>
      <c r="AY56" s="35"/>
      <c r="AZ56" s="35"/>
      <c r="BA56" s="35"/>
      <c r="BB56" s="35"/>
      <c r="BC56" s="35"/>
      <c r="BD56" s="35"/>
      <c r="BG56" s="12">
        <v>0</v>
      </c>
      <c r="BH56" s="12">
        <v>1</v>
      </c>
      <c r="BI56" s="12">
        <v>0</v>
      </c>
      <c r="BJ56" s="12">
        <v>0</v>
      </c>
      <c r="BK56" s="12">
        <v>0</v>
      </c>
      <c r="BL56" s="12">
        <v>1</v>
      </c>
      <c r="BM56" s="12">
        <v>0</v>
      </c>
      <c r="BN56" s="30"/>
      <c r="BO56" s="35"/>
      <c r="BP56" s="35"/>
      <c r="BQ56" s="35"/>
      <c r="BR56" s="35"/>
      <c r="BS56" s="35"/>
      <c r="BT56" s="35"/>
      <c r="BU56" s="12">
        <v>0</v>
      </c>
      <c r="BV56" s="12">
        <v>1</v>
      </c>
      <c r="BW56" s="12">
        <v>0</v>
      </c>
      <c r="BX56" s="12">
        <v>0</v>
      </c>
      <c r="BY56" s="12">
        <v>1</v>
      </c>
      <c r="BZ56" s="12">
        <v>0</v>
      </c>
      <c r="CA56" s="12">
        <v>0</v>
      </c>
      <c r="CB56" s="30"/>
      <c r="CC56" s="35"/>
      <c r="CD56" s="35"/>
      <c r="CE56" s="35"/>
      <c r="CF56" s="35"/>
      <c r="CG56" s="35"/>
      <c r="CH56" s="35"/>
    </row>
    <row r="57" spans="1:86" ht="15" customHeight="1" x14ac:dyDescent="0.25">
      <c r="A57" s="13">
        <v>0</v>
      </c>
      <c r="B57" s="13">
        <v>0</v>
      </c>
      <c r="C57" s="13">
        <v>0</v>
      </c>
      <c r="D57" s="13">
        <v>0</v>
      </c>
      <c r="E57" s="13">
        <v>0</v>
      </c>
      <c r="F57" s="13">
        <v>1</v>
      </c>
      <c r="G57" s="10">
        <v>0</v>
      </c>
      <c r="H57" s="36" t="s">
        <v>48</v>
      </c>
      <c r="I57" s="37"/>
      <c r="J57" s="37"/>
      <c r="K57" s="37"/>
      <c r="L57" s="38">
        <v>209</v>
      </c>
      <c r="M57" s="38"/>
      <c r="N57" s="19">
        <v>134</v>
      </c>
      <c r="O57" s="13">
        <v>0</v>
      </c>
      <c r="P57" s="13">
        <v>0</v>
      </c>
      <c r="Q57" s="13">
        <v>0</v>
      </c>
      <c r="R57" s="13">
        <v>0</v>
      </c>
      <c r="S57" s="10">
        <v>0</v>
      </c>
      <c r="T57" s="13">
        <v>0</v>
      </c>
      <c r="U57" s="12">
        <v>0</v>
      </c>
      <c r="V57" s="36" t="s">
        <v>48</v>
      </c>
      <c r="W57" s="37"/>
      <c r="X57" s="37"/>
      <c r="Y57" s="37"/>
      <c r="Z57" s="38">
        <v>209</v>
      </c>
      <c r="AA57" s="38"/>
      <c r="AB57" s="19">
        <v>135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36" t="s">
        <v>48</v>
      </c>
      <c r="AK57" s="37"/>
      <c r="AL57" s="37"/>
      <c r="AM57" s="37"/>
      <c r="AN57" s="38">
        <v>209</v>
      </c>
      <c r="AO57" s="38"/>
      <c r="AP57" s="19">
        <v>136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1</v>
      </c>
      <c r="AX57" s="36" t="s">
        <v>48</v>
      </c>
      <c r="AY57" s="37"/>
      <c r="AZ57" s="37"/>
      <c r="BA57" s="37"/>
      <c r="BB57" s="38">
        <v>209</v>
      </c>
      <c r="BC57" s="38"/>
      <c r="BD57" s="19">
        <v>137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36" t="s">
        <v>48</v>
      </c>
      <c r="BO57" s="37"/>
      <c r="BP57" s="37"/>
      <c r="BQ57" s="37"/>
      <c r="BR57" s="38">
        <v>0</v>
      </c>
      <c r="BS57" s="38"/>
      <c r="BT57" s="19">
        <v>109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2">
        <v>0</v>
      </c>
      <c r="CA57" s="12">
        <v>0</v>
      </c>
      <c r="CB57" s="36" t="s">
        <v>48</v>
      </c>
      <c r="CC57" s="37"/>
      <c r="CD57" s="37"/>
      <c r="CE57" s="37"/>
      <c r="CF57" s="38"/>
      <c r="CG57" s="38"/>
      <c r="CH57" s="19"/>
    </row>
    <row r="58" spans="1:86" s="4" customFormat="1" x14ac:dyDescent="0.25">
      <c r="A58" s="9">
        <v>1</v>
      </c>
      <c r="B58" s="9">
        <v>2</v>
      </c>
      <c r="C58" s="9">
        <v>3</v>
      </c>
      <c r="D58" s="9">
        <v>4</v>
      </c>
      <c r="E58" s="9">
        <v>5</v>
      </c>
      <c r="F58" s="9">
        <v>6</v>
      </c>
      <c r="G58" s="9">
        <v>7</v>
      </c>
      <c r="H58" s="39" t="s">
        <v>0</v>
      </c>
      <c r="I58" s="39"/>
      <c r="J58" s="39"/>
      <c r="K58" s="39"/>
      <c r="L58" s="40">
        <v>208</v>
      </c>
      <c r="M58" s="40"/>
      <c r="N58" s="15">
        <v>170</v>
      </c>
      <c r="O58" s="9">
        <v>1</v>
      </c>
      <c r="P58" s="9">
        <v>2</v>
      </c>
      <c r="Q58" s="9">
        <v>3</v>
      </c>
      <c r="R58" s="9">
        <v>4</v>
      </c>
      <c r="S58" s="9">
        <v>5</v>
      </c>
      <c r="T58" s="9">
        <v>6</v>
      </c>
      <c r="U58" s="9">
        <v>7</v>
      </c>
      <c r="V58" s="39" t="s">
        <v>0</v>
      </c>
      <c r="W58" s="39"/>
      <c r="X58" s="39"/>
      <c r="Y58" s="39"/>
      <c r="Z58" s="40">
        <v>208</v>
      </c>
      <c r="AA58" s="40"/>
      <c r="AB58" s="15">
        <v>171</v>
      </c>
      <c r="AC58" s="9">
        <v>1</v>
      </c>
      <c r="AD58" s="9">
        <v>2</v>
      </c>
      <c r="AE58" s="9">
        <v>3</v>
      </c>
      <c r="AF58" s="9">
        <v>4</v>
      </c>
      <c r="AG58" s="9">
        <v>5</v>
      </c>
      <c r="AH58" s="9">
        <v>6</v>
      </c>
      <c r="AI58" s="9">
        <v>7</v>
      </c>
      <c r="AJ58" s="39" t="s">
        <v>0</v>
      </c>
      <c r="AK58" s="39"/>
      <c r="AL58" s="39"/>
      <c r="AM58" s="39"/>
      <c r="AN58" s="40">
        <v>208</v>
      </c>
      <c r="AO58" s="40"/>
      <c r="AP58" s="15">
        <v>172</v>
      </c>
      <c r="AQ58" s="9">
        <v>1</v>
      </c>
      <c r="AR58" s="9">
        <v>2</v>
      </c>
      <c r="AS58" s="9">
        <v>3</v>
      </c>
      <c r="AT58" s="9">
        <v>4</v>
      </c>
      <c r="AU58" s="9">
        <v>5</v>
      </c>
      <c r="AV58" s="9">
        <v>6</v>
      </c>
      <c r="AW58" s="9">
        <v>7</v>
      </c>
      <c r="AX58" s="39" t="s">
        <v>0</v>
      </c>
      <c r="AY58" s="39"/>
      <c r="AZ58" s="39"/>
      <c r="BA58" s="39"/>
      <c r="BB58" s="40">
        <v>208</v>
      </c>
      <c r="BC58" s="40"/>
      <c r="BD58" s="15">
        <v>173</v>
      </c>
      <c r="BE58" s="20"/>
      <c r="BF58" s="20"/>
      <c r="BG58" s="9">
        <v>1</v>
      </c>
      <c r="BH58" s="9">
        <v>2</v>
      </c>
      <c r="BI58" s="9">
        <v>3</v>
      </c>
      <c r="BJ58" s="9">
        <v>4</v>
      </c>
      <c r="BK58" s="9">
        <v>5</v>
      </c>
      <c r="BL58" s="9">
        <v>6</v>
      </c>
      <c r="BM58" s="9">
        <v>7</v>
      </c>
      <c r="BN58" s="39" t="s">
        <v>0</v>
      </c>
      <c r="BO58" s="39"/>
      <c r="BP58" s="39"/>
      <c r="BQ58" s="39"/>
      <c r="BR58" s="40">
        <v>0</v>
      </c>
      <c r="BS58" s="40"/>
      <c r="BT58" s="15">
        <v>79</v>
      </c>
      <c r="BU58" s="9">
        <v>1</v>
      </c>
      <c r="BV58" s="9">
        <v>2</v>
      </c>
      <c r="BW58" s="9">
        <v>3</v>
      </c>
      <c r="BX58" s="9">
        <v>4</v>
      </c>
      <c r="BY58" s="9">
        <v>5</v>
      </c>
      <c r="BZ58" s="9">
        <v>6</v>
      </c>
      <c r="CA58" s="9">
        <v>7</v>
      </c>
      <c r="CB58" s="39" t="s">
        <v>0</v>
      </c>
      <c r="CC58" s="39"/>
      <c r="CD58" s="39"/>
      <c r="CE58" s="39"/>
      <c r="CF58" s="40">
        <v>0</v>
      </c>
      <c r="CG58" s="40"/>
      <c r="CH58" s="15">
        <v>80</v>
      </c>
    </row>
    <row r="59" spans="1:86" x14ac:dyDescent="0.25">
      <c r="A59" s="10">
        <v>0</v>
      </c>
      <c r="B59" s="10">
        <v>1</v>
      </c>
      <c r="C59" s="10">
        <v>1</v>
      </c>
      <c r="D59" s="10">
        <v>0</v>
      </c>
      <c r="E59" s="10">
        <v>0</v>
      </c>
      <c r="F59" s="10">
        <v>0</v>
      </c>
      <c r="G59" s="10">
        <v>0</v>
      </c>
      <c r="H59" s="11" t="str">
        <f>BIN2HEX(A65&amp;A64&amp;A63&amp;A62&amp;A61&amp;A60&amp;A59)</f>
        <v>0</v>
      </c>
      <c r="I59" s="11" t="str">
        <f>BIN2HEX(B65&amp;B64&amp;B63&amp;B62&amp;B61&amp;B60&amp;B59)</f>
        <v>1</v>
      </c>
      <c r="J59" s="11" t="str">
        <f t="shared" ref="J59" si="210">BIN2HEX(C65&amp;C64&amp;C63&amp;C62&amp;C61&amp;C60&amp;C59)</f>
        <v>3F</v>
      </c>
      <c r="K59" s="11" t="str">
        <f t="shared" ref="K59" si="211">BIN2HEX(D65&amp;D64&amp;D63&amp;D62&amp;D61&amp;D60&amp;D59)</f>
        <v>24</v>
      </c>
      <c r="L59" s="11" t="str">
        <f t="shared" ref="L59" si="212">BIN2HEX(E65&amp;E64&amp;E63&amp;E62&amp;E61&amp;E60&amp;E59)</f>
        <v>18</v>
      </c>
      <c r="M59" s="11" t="str">
        <f t="shared" ref="M59" si="213">BIN2HEX(F65&amp;F64&amp;F63&amp;F62&amp;F61&amp;F60&amp;F59)</f>
        <v>0</v>
      </c>
      <c r="N59" s="11" t="str">
        <f t="shared" ref="N59" si="214">BIN2HEX(G65&amp;G64&amp;G63&amp;G62&amp;G61&amp;G60&amp;G59)</f>
        <v>0</v>
      </c>
      <c r="O59" s="10">
        <v>0</v>
      </c>
      <c r="P59" s="10">
        <v>1</v>
      </c>
      <c r="Q59" s="10">
        <v>0</v>
      </c>
      <c r="R59" s="10">
        <v>0</v>
      </c>
      <c r="S59" s="10">
        <v>0</v>
      </c>
      <c r="T59" s="10">
        <v>1</v>
      </c>
      <c r="U59" s="10">
        <v>0</v>
      </c>
      <c r="V59" s="11" t="str">
        <f>BIN2HEX(O65&amp;O64&amp;O63&amp;O62&amp;O61&amp;O60&amp;O59)</f>
        <v>0</v>
      </c>
      <c r="W59" s="11" t="str">
        <f>BIN2HEX(P65&amp;P64&amp;P63&amp;P62&amp;P61&amp;P60&amp;P59)</f>
        <v>3F</v>
      </c>
      <c r="X59" s="11" t="str">
        <f t="shared" ref="X59" si="215">BIN2HEX(Q65&amp;Q64&amp;Q63&amp;Q62&amp;Q61&amp;Q60&amp;Q59)</f>
        <v>24</v>
      </c>
      <c r="Y59" s="11" t="str">
        <f t="shared" ref="Y59" si="216">BIN2HEX(R65&amp;R64&amp;R63&amp;R62&amp;R61&amp;R60&amp;R59)</f>
        <v>18</v>
      </c>
      <c r="Z59" s="11" t="str">
        <f t="shared" ref="Z59" si="217">BIN2HEX(S65&amp;S64&amp;S63&amp;S62&amp;S61&amp;S60&amp;S59)</f>
        <v>0</v>
      </c>
      <c r="AA59" s="11" t="str">
        <f t="shared" ref="AA59" si="218">BIN2HEX(T65&amp;T64&amp;T63&amp;T62&amp;T61&amp;T60&amp;T59)</f>
        <v>3F</v>
      </c>
      <c r="AB59" s="11" t="str">
        <f t="shared" ref="AB59" si="219">BIN2HEX(U65&amp;U64&amp;U63&amp;U62&amp;U61&amp;U60&amp;U59)</f>
        <v>0</v>
      </c>
      <c r="AC59" s="10">
        <v>0</v>
      </c>
      <c r="AD59" s="10">
        <v>0</v>
      </c>
      <c r="AE59" s="10">
        <v>1</v>
      </c>
      <c r="AF59" s="10">
        <v>0</v>
      </c>
      <c r="AG59" s="10">
        <v>0</v>
      </c>
      <c r="AH59" s="10">
        <v>0</v>
      </c>
      <c r="AI59" s="10">
        <v>0</v>
      </c>
      <c r="AJ59" s="11" t="str">
        <f>BIN2HEX(AC65&amp;AC64&amp;AC63&amp;AC62&amp;AC61&amp;AC60&amp;AC59)</f>
        <v>0</v>
      </c>
      <c r="AK59" s="11" t="str">
        <f>BIN2HEX(AD65&amp;AD64&amp;AD63&amp;AD62&amp;AD61&amp;AD60&amp;AD59)</f>
        <v>0</v>
      </c>
      <c r="AL59" s="11" t="str">
        <f t="shared" ref="AL59" si="220">BIN2HEX(AE65&amp;AE64&amp;AE63&amp;AE62&amp;AE61&amp;AE60&amp;AE59)</f>
        <v>3F</v>
      </c>
      <c r="AM59" s="11" t="str">
        <f t="shared" ref="AM59" si="221">BIN2HEX(AF65&amp;AF64&amp;AF63&amp;AF62&amp;AF61&amp;AF60&amp;AF59)</f>
        <v>24</v>
      </c>
      <c r="AN59" s="11" t="str">
        <f t="shared" ref="AN59" si="222">BIN2HEX(AG65&amp;AG64&amp;AG63&amp;AG62&amp;AG61&amp;AG60&amp;AG59)</f>
        <v>18</v>
      </c>
      <c r="AO59" s="11" t="str">
        <f t="shared" ref="AO59" si="223">BIN2HEX(AH65&amp;AH64&amp;AH63&amp;AH62&amp;AH61&amp;AH60&amp;AH59)</f>
        <v>0</v>
      </c>
      <c r="AP59" s="11" t="str">
        <f t="shared" ref="AP59" si="224">BIN2HEX(AI65&amp;AI64&amp;AI63&amp;AI62&amp;AI61&amp;AI60&amp;AI59)</f>
        <v>0</v>
      </c>
      <c r="AQ59" s="10">
        <v>0</v>
      </c>
      <c r="AR59" s="10">
        <v>0</v>
      </c>
      <c r="AS59" s="10">
        <v>1</v>
      </c>
      <c r="AT59" s="10">
        <v>1</v>
      </c>
      <c r="AU59" s="10">
        <v>0</v>
      </c>
      <c r="AV59" s="10">
        <v>0</v>
      </c>
      <c r="AW59" s="10">
        <v>0</v>
      </c>
      <c r="AX59" s="11" t="str">
        <f>BIN2HEX(AQ65&amp;AQ64&amp;AQ63&amp;AQ62&amp;AQ61&amp;AQ60&amp;AQ59)</f>
        <v>0</v>
      </c>
      <c r="AY59" s="11" t="str">
        <f>BIN2HEX(AR65&amp;AR64&amp;AR63&amp;AR62&amp;AR61&amp;AR60&amp;AR59)</f>
        <v>22</v>
      </c>
      <c r="AZ59" s="11" t="str">
        <f t="shared" ref="AZ59" si="225">BIN2HEX(AS65&amp;AS64&amp;AS63&amp;AS62&amp;AS61&amp;AS60&amp;AS59)</f>
        <v>49</v>
      </c>
      <c r="BA59" s="11" t="str">
        <f t="shared" ref="BA59" si="226">BIN2HEX(AT65&amp;AT64&amp;AT63&amp;AT62&amp;AT61&amp;AT60&amp;AT59)</f>
        <v>49</v>
      </c>
      <c r="BB59" s="11" t="str">
        <f t="shared" ref="BB59" si="227">BIN2HEX(AU65&amp;AU64&amp;AU63&amp;AU62&amp;AU61&amp;AU60&amp;AU59)</f>
        <v>3E</v>
      </c>
      <c r="BC59" s="11" t="str">
        <f t="shared" ref="BC59" si="228">BIN2HEX(AV65&amp;AV64&amp;AV63&amp;AV62&amp;AV61&amp;AV60&amp;AV59)</f>
        <v>0</v>
      </c>
      <c r="BD59" s="11" t="str">
        <f t="shared" ref="BD59" si="229">BIN2HEX(AW65&amp;AW64&amp;AW63&amp;AW62&amp;AW61&amp;AW60&amp;AW59)</f>
        <v>0</v>
      </c>
      <c r="BG59" s="10">
        <v>0</v>
      </c>
      <c r="BH59" s="10">
        <v>0</v>
      </c>
      <c r="BI59" s="10">
        <v>1</v>
      </c>
      <c r="BJ59" s="10">
        <v>1</v>
      </c>
      <c r="BK59" s="10">
        <v>0</v>
      </c>
      <c r="BL59" s="10">
        <v>0</v>
      </c>
      <c r="BM59" s="10">
        <v>0</v>
      </c>
      <c r="BN59" s="11" t="str">
        <f>BIN2HEX(BG65&amp;BG64&amp;BG63&amp;BG62&amp;BG61&amp;BG60&amp;BG59)</f>
        <v>0</v>
      </c>
      <c r="BO59" s="11" t="str">
        <f>BIN2HEX(BH65&amp;BH64&amp;BH63&amp;BH62&amp;BH61&amp;BH60&amp;BH59)</f>
        <v>1E</v>
      </c>
      <c r="BP59" s="11" t="str">
        <f t="shared" ref="BP59" si="230">BIN2HEX(BI65&amp;BI64&amp;BI63&amp;BI62&amp;BI61&amp;BI60&amp;BI59)</f>
        <v>21</v>
      </c>
      <c r="BQ59" s="11" t="str">
        <f t="shared" ref="BQ59" si="231">BIN2HEX(BJ65&amp;BJ64&amp;BJ63&amp;BJ62&amp;BJ61&amp;BJ60&amp;BJ59)</f>
        <v>21</v>
      </c>
      <c r="BR59" s="11" t="str">
        <f t="shared" ref="BR59" si="232">BIN2HEX(BK65&amp;BK64&amp;BK63&amp;BK62&amp;BK61&amp;BK60&amp;BK59)</f>
        <v>1E</v>
      </c>
      <c r="BS59" s="11" t="str">
        <f t="shared" ref="BS59" si="233">BIN2HEX(BL65&amp;BL64&amp;BL63&amp;BL62&amp;BL61&amp;BL60&amp;BL59)</f>
        <v>0</v>
      </c>
      <c r="BT59" s="11" t="str">
        <f t="shared" ref="BT59" si="234">BIN2HEX(BM65&amp;BM64&amp;BM63&amp;BM62&amp;BM61&amp;BM60&amp;BM59)</f>
        <v>0</v>
      </c>
      <c r="BU59" s="10">
        <v>0</v>
      </c>
      <c r="BV59" s="10">
        <v>1</v>
      </c>
      <c r="BW59" s="10">
        <v>1</v>
      </c>
      <c r="BX59" s="10">
        <v>1</v>
      </c>
      <c r="BY59" s="10">
        <v>0</v>
      </c>
      <c r="BZ59" s="10">
        <v>0</v>
      </c>
      <c r="CA59" s="10">
        <v>0</v>
      </c>
      <c r="CB59" s="11" t="str">
        <f>BIN2HEX(BU65&amp;BU64&amp;BU63&amp;BU62&amp;BU61&amp;BU60&amp;BU59)</f>
        <v>0</v>
      </c>
      <c r="CC59" s="11" t="str">
        <f>BIN2HEX(BV65&amp;BV64&amp;BV63&amp;BV62&amp;BV61&amp;BV60&amp;BV59)</f>
        <v>3F</v>
      </c>
      <c r="CD59" s="11" t="str">
        <f t="shared" ref="CD59" si="235">BIN2HEX(BW65&amp;BW64&amp;BW63&amp;BW62&amp;BW61&amp;BW60&amp;BW59)</f>
        <v>9</v>
      </c>
      <c r="CE59" s="11" t="str">
        <f t="shared" ref="CE59" si="236">BIN2HEX(BX65&amp;BX64&amp;BX63&amp;BX62&amp;BX61&amp;BX60&amp;BX59)</f>
        <v>9</v>
      </c>
      <c r="CF59" s="11" t="str">
        <f t="shared" ref="CF59" si="237">BIN2HEX(BY65&amp;BY64&amp;BY63&amp;BY62&amp;BY61&amp;BY60&amp;BY59)</f>
        <v>6</v>
      </c>
      <c r="CG59" s="11" t="str">
        <f t="shared" ref="CG59" si="238">BIN2HEX(BZ65&amp;BZ64&amp;BZ63&amp;BZ62&amp;BZ61&amp;BZ60&amp;BZ59)</f>
        <v>0</v>
      </c>
      <c r="CH59" s="11" t="str">
        <f t="shared" ref="CH59" si="239">BIN2HEX(CA65&amp;CA64&amp;CA63&amp;CA62&amp;CA61&amp;CA60&amp;CA59)</f>
        <v>0</v>
      </c>
    </row>
    <row r="60" spans="1:86" ht="15" customHeight="1" x14ac:dyDescent="0.25">
      <c r="A60" s="12">
        <v>0</v>
      </c>
      <c r="B60" s="12">
        <v>0</v>
      </c>
      <c r="C60" s="12">
        <v>1</v>
      </c>
      <c r="D60" s="12">
        <v>0</v>
      </c>
      <c r="E60" s="12">
        <v>0</v>
      </c>
      <c r="F60" s="12">
        <v>0</v>
      </c>
      <c r="G60" s="12">
        <v>0</v>
      </c>
      <c r="H60" s="34" t="str">
        <f>"0x"&amp;H59&amp;", 0x"&amp;I59&amp;", 0x"&amp;J59&amp;", 0x"&amp;K59&amp;", 0x"&amp;L59&amp;", 0x"&amp;M59&amp;", 0x"&amp;N59</f>
        <v>0x0, 0x1, 0x3F, 0x24, 0x18, 0x0, 0x0</v>
      </c>
      <c r="I60" s="35"/>
      <c r="J60" s="35"/>
      <c r="K60" s="35"/>
      <c r="L60" s="35"/>
      <c r="M60" s="35"/>
      <c r="N60" s="35"/>
      <c r="O60" s="12">
        <v>0</v>
      </c>
      <c r="P60" s="12">
        <v>1</v>
      </c>
      <c r="Q60" s="12">
        <v>0</v>
      </c>
      <c r="R60" s="12">
        <v>0</v>
      </c>
      <c r="S60" s="12">
        <v>0</v>
      </c>
      <c r="T60" s="12">
        <v>1</v>
      </c>
      <c r="U60" s="12">
        <v>0</v>
      </c>
      <c r="V60" s="34" t="str">
        <f>"0x"&amp;V59&amp;", 0x"&amp;W59&amp;", 0x"&amp;X59&amp;", 0x"&amp;Y59&amp;", 0x"&amp;Z59&amp;", 0x"&amp;AA59&amp;", 0x"&amp;AB59</f>
        <v>0x0, 0x3F, 0x24, 0x18, 0x0, 0x3F, 0x0</v>
      </c>
      <c r="W60" s="35"/>
      <c r="X60" s="35"/>
      <c r="Y60" s="35"/>
      <c r="Z60" s="35"/>
      <c r="AA60" s="35"/>
      <c r="AB60" s="35"/>
      <c r="AC60" s="12">
        <v>0</v>
      </c>
      <c r="AD60" s="12">
        <v>0</v>
      </c>
      <c r="AE60" s="12">
        <v>1</v>
      </c>
      <c r="AF60" s="12">
        <v>0</v>
      </c>
      <c r="AG60" s="12">
        <v>0</v>
      </c>
      <c r="AH60" s="12">
        <v>0</v>
      </c>
      <c r="AI60" s="12">
        <v>0</v>
      </c>
      <c r="AJ60" s="34" t="str">
        <f>"0x"&amp;AJ59&amp;", 0x"&amp;AK59&amp;", 0x"&amp;AL59&amp;", 0x"&amp;AM59&amp;", 0x"&amp;AN59&amp;", 0x"&amp;AO59&amp;", 0x"&amp;AP59</f>
        <v>0x0, 0x0, 0x3F, 0x24, 0x18, 0x0, 0x0</v>
      </c>
      <c r="AK60" s="35"/>
      <c r="AL60" s="35"/>
      <c r="AM60" s="35"/>
      <c r="AN60" s="35"/>
      <c r="AO60" s="35"/>
      <c r="AP60" s="35"/>
      <c r="AQ60" s="12">
        <v>0</v>
      </c>
      <c r="AR60" s="12">
        <v>1</v>
      </c>
      <c r="AS60" s="12">
        <v>0</v>
      </c>
      <c r="AT60" s="12">
        <v>0</v>
      </c>
      <c r="AU60" s="12">
        <v>1</v>
      </c>
      <c r="AV60" s="12">
        <v>0</v>
      </c>
      <c r="AW60" s="12">
        <v>0</v>
      </c>
      <c r="AX60" s="34" t="str">
        <f>"0x"&amp;AX59&amp;", 0x"&amp;AY59&amp;", 0x"&amp;AZ59&amp;", 0x"&amp;BA59&amp;", 0x"&amp;BB59&amp;", 0x"&amp;BC59&amp;", 0x"&amp;BD59</f>
        <v>0x0, 0x22, 0x49, 0x49, 0x3E, 0x0, 0x0</v>
      </c>
      <c r="AY60" s="35"/>
      <c r="AZ60" s="35"/>
      <c r="BA60" s="35"/>
      <c r="BB60" s="35"/>
      <c r="BC60" s="35"/>
      <c r="BD60" s="35"/>
      <c r="BG60" s="12">
        <v>0</v>
      </c>
      <c r="BH60" s="12">
        <v>1</v>
      </c>
      <c r="BI60" s="12">
        <v>0</v>
      </c>
      <c r="BJ60" s="12">
        <v>0</v>
      </c>
      <c r="BK60" s="12">
        <v>1</v>
      </c>
      <c r="BL60" s="10">
        <v>0</v>
      </c>
      <c r="BM60" s="12">
        <v>0</v>
      </c>
      <c r="BN60" s="34" t="str">
        <f>"0x"&amp;BN59&amp;", 0x"&amp;BO59&amp;", 0x"&amp;BP59&amp;", 0x"&amp;BQ59&amp;", 0x"&amp;BR59&amp;", 0x"&amp;BS59&amp;", 0x"&amp;BT59</f>
        <v>0x0, 0x1E, 0x21, 0x21, 0x1E, 0x0, 0x0</v>
      </c>
      <c r="BO60" s="35"/>
      <c r="BP60" s="35"/>
      <c r="BQ60" s="35"/>
      <c r="BR60" s="35"/>
      <c r="BS60" s="35"/>
      <c r="BT60" s="35"/>
      <c r="BU60" s="12">
        <v>0</v>
      </c>
      <c r="BV60" s="12">
        <v>1</v>
      </c>
      <c r="BW60" s="12">
        <v>0</v>
      </c>
      <c r="BX60" s="12">
        <v>0</v>
      </c>
      <c r="BY60" s="12">
        <v>1</v>
      </c>
      <c r="BZ60" s="12">
        <v>0</v>
      </c>
      <c r="CA60" s="12">
        <v>0</v>
      </c>
      <c r="CB60" s="34" t="str">
        <f>"0x"&amp;CB59&amp;", 0x"&amp;CC59&amp;", 0x"&amp;CD59&amp;", 0x"&amp;CE59&amp;", 0x"&amp;CF59&amp;", 0x"&amp;CG59&amp;", 0x"&amp;CH59</f>
        <v>0x0, 0x3F, 0x9, 0x9, 0x6, 0x0, 0x0</v>
      </c>
      <c r="CC60" s="35"/>
      <c r="CD60" s="35"/>
      <c r="CE60" s="35"/>
      <c r="CF60" s="35"/>
      <c r="CG60" s="35"/>
      <c r="CH60" s="35"/>
    </row>
    <row r="61" spans="1:86" x14ac:dyDescent="0.25">
      <c r="A61" s="12">
        <v>0</v>
      </c>
      <c r="B61" s="12">
        <v>0</v>
      </c>
      <c r="C61" s="12">
        <v>1</v>
      </c>
      <c r="D61" s="12">
        <v>1</v>
      </c>
      <c r="E61" s="12">
        <v>0</v>
      </c>
      <c r="F61" s="12">
        <v>0</v>
      </c>
      <c r="G61" s="12">
        <v>0</v>
      </c>
      <c r="H61" s="34"/>
      <c r="I61" s="35"/>
      <c r="J61" s="35"/>
      <c r="K61" s="35"/>
      <c r="L61" s="35"/>
      <c r="M61" s="35"/>
      <c r="N61" s="35"/>
      <c r="O61" s="12">
        <v>0</v>
      </c>
      <c r="P61" s="12">
        <v>1</v>
      </c>
      <c r="Q61" s="12">
        <v>1</v>
      </c>
      <c r="R61" s="12">
        <v>0</v>
      </c>
      <c r="S61" s="12">
        <v>0</v>
      </c>
      <c r="T61" s="12">
        <v>1</v>
      </c>
      <c r="U61" s="12">
        <v>0</v>
      </c>
      <c r="V61" s="34"/>
      <c r="W61" s="35"/>
      <c r="X61" s="35"/>
      <c r="Y61" s="35"/>
      <c r="Z61" s="35"/>
      <c r="AA61" s="35"/>
      <c r="AB61" s="35"/>
      <c r="AC61" s="12">
        <v>0</v>
      </c>
      <c r="AD61" s="12">
        <v>0</v>
      </c>
      <c r="AE61" s="12">
        <v>1</v>
      </c>
      <c r="AF61" s="12">
        <v>1</v>
      </c>
      <c r="AG61" s="12">
        <v>0</v>
      </c>
      <c r="AH61" s="12">
        <v>0</v>
      </c>
      <c r="AI61" s="12">
        <v>0</v>
      </c>
      <c r="AJ61" s="34"/>
      <c r="AK61" s="35"/>
      <c r="AL61" s="35"/>
      <c r="AM61" s="35"/>
      <c r="AN61" s="35"/>
      <c r="AO61" s="35"/>
      <c r="AP61" s="35"/>
      <c r="AQ61" s="12">
        <v>0</v>
      </c>
      <c r="AR61" s="12">
        <v>0</v>
      </c>
      <c r="AS61" s="12">
        <v>0</v>
      </c>
      <c r="AT61" s="12">
        <v>0</v>
      </c>
      <c r="AU61" s="12">
        <v>1</v>
      </c>
      <c r="AV61" s="12">
        <v>0</v>
      </c>
      <c r="AW61" s="12">
        <v>0</v>
      </c>
      <c r="AX61" s="34"/>
      <c r="AY61" s="35"/>
      <c r="AZ61" s="35"/>
      <c r="BA61" s="35"/>
      <c r="BB61" s="35"/>
      <c r="BC61" s="35"/>
      <c r="BD61" s="35"/>
      <c r="BG61" s="12">
        <v>0</v>
      </c>
      <c r="BH61" s="12">
        <v>1</v>
      </c>
      <c r="BI61" s="12">
        <v>0</v>
      </c>
      <c r="BJ61" s="12">
        <v>0</v>
      </c>
      <c r="BK61" s="12">
        <v>1</v>
      </c>
      <c r="BL61" s="10">
        <v>0</v>
      </c>
      <c r="BM61" s="12">
        <v>0</v>
      </c>
      <c r="BN61" s="34"/>
      <c r="BO61" s="35"/>
      <c r="BP61" s="35"/>
      <c r="BQ61" s="35"/>
      <c r="BR61" s="35"/>
      <c r="BS61" s="35"/>
      <c r="BT61" s="35"/>
      <c r="BU61" s="12">
        <v>0</v>
      </c>
      <c r="BV61" s="12">
        <v>1</v>
      </c>
      <c r="BW61" s="12">
        <v>0</v>
      </c>
      <c r="BX61" s="12">
        <v>0</v>
      </c>
      <c r="BY61" s="12">
        <v>1</v>
      </c>
      <c r="BZ61" s="12">
        <v>0</v>
      </c>
      <c r="CA61" s="12">
        <v>0</v>
      </c>
      <c r="CB61" s="34"/>
      <c r="CC61" s="35"/>
      <c r="CD61" s="35"/>
      <c r="CE61" s="35"/>
      <c r="CF61" s="35"/>
      <c r="CG61" s="35"/>
      <c r="CH61" s="35"/>
    </row>
    <row r="62" spans="1:86" x14ac:dyDescent="0.25">
      <c r="A62" s="12">
        <v>0</v>
      </c>
      <c r="B62" s="12">
        <v>0</v>
      </c>
      <c r="C62" s="12">
        <v>1</v>
      </c>
      <c r="D62" s="12">
        <v>0</v>
      </c>
      <c r="E62" s="12">
        <v>1</v>
      </c>
      <c r="F62" s="12">
        <v>0</v>
      </c>
      <c r="G62" s="12">
        <v>0</v>
      </c>
      <c r="H62" s="36" t="s">
        <v>26</v>
      </c>
      <c r="I62" s="37"/>
      <c r="J62" s="37"/>
      <c r="K62" s="37"/>
      <c r="L62" s="37"/>
      <c r="M62" s="37"/>
      <c r="N62" s="37"/>
      <c r="O62" s="12">
        <v>0</v>
      </c>
      <c r="P62" s="12">
        <v>1</v>
      </c>
      <c r="Q62" s="12">
        <v>0</v>
      </c>
      <c r="R62" s="12">
        <v>1</v>
      </c>
      <c r="S62" s="12">
        <v>0</v>
      </c>
      <c r="T62" s="12">
        <v>1</v>
      </c>
      <c r="U62" s="12">
        <v>0</v>
      </c>
      <c r="V62" s="36" t="s">
        <v>27</v>
      </c>
      <c r="W62" s="37"/>
      <c r="X62" s="37"/>
      <c r="Y62" s="37"/>
      <c r="Z62" s="37"/>
      <c r="AA62" s="37"/>
      <c r="AB62" s="37"/>
      <c r="AC62" s="12">
        <v>0</v>
      </c>
      <c r="AD62" s="12">
        <v>0</v>
      </c>
      <c r="AE62" s="12">
        <v>1</v>
      </c>
      <c r="AF62" s="12">
        <v>0</v>
      </c>
      <c r="AG62" s="12">
        <v>1</v>
      </c>
      <c r="AH62" s="12">
        <v>0</v>
      </c>
      <c r="AI62" s="12">
        <v>0</v>
      </c>
      <c r="AJ62" s="36" t="s">
        <v>28</v>
      </c>
      <c r="AK62" s="37"/>
      <c r="AL62" s="37"/>
      <c r="AM62" s="37"/>
      <c r="AN62" s="37"/>
      <c r="AO62" s="37"/>
      <c r="AP62" s="37"/>
      <c r="AQ62" s="12">
        <v>0</v>
      </c>
      <c r="AR62" s="12">
        <v>0</v>
      </c>
      <c r="AS62" s="12">
        <v>1</v>
      </c>
      <c r="AT62" s="12">
        <v>1</v>
      </c>
      <c r="AU62" s="12">
        <v>1</v>
      </c>
      <c r="AV62" s="12">
        <v>0</v>
      </c>
      <c r="AW62" s="12">
        <v>0</v>
      </c>
      <c r="AX62" s="36" t="s">
        <v>29</v>
      </c>
      <c r="AY62" s="37"/>
      <c r="AZ62" s="37"/>
      <c r="BA62" s="37"/>
      <c r="BB62" s="37"/>
      <c r="BC62" s="37"/>
      <c r="BD62" s="37"/>
      <c r="BG62" s="12">
        <v>0</v>
      </c>
      <c r="BH62" s="12">
        <v>1</v>
      </c>
      <c r="BI62" s="12">
        <v>0</v>
      </c>
      <c r="BJ62" s="12">
        <v>0</v>
      </c>
      <c r="BK62" s="12">
        <v>1</v>
      </c>
      <c r="BL62" s="10">
        <v>0</v>
      </c>
      <c r="BM62" s="12">
        <v>0</v>
      </c>
      <c r="BN62" s="36" t="s">
        <v>68</v>
      </c>
      <c r="BO62" s="37"/>
      <c r="BP62" s="37"/>
      <c r="BQ62" s="37"/>
      <c r="BR62" s="37"/>
      <c r="BS62" s="37"/>
      <c r="BT62" s="37"/>
      <c r="BU62" s="12">
        <v>0</v>
      </c>
      <c r="BV62" s="12">
        <v>1</v>
      </c>
      <c r="BW62" s="12">
        <v>1</v>
      </c>
      <c r="BX62" s="12">
        <v>1</v>
      </c>
      <c r="BY62" s="12">
        <v>0</v>
      </c>
      <c r="BZ62" s="12">
        <v>0</v>
      </c>
      <c r="CA62" s="12">
        <v>0</v>
      </c>
      <c r="CB62" s="36" t="s">
        <v>69</v>
      </c>
      <c r="CC62" s="37"/>
      <c r="CD62" s="37"/>
      <c r="CE62" s="37"/>
      <c r="CF62" s="37"/>
      <c r="CG62" s="37"/>
      <c r="CH62" s="37"/>
    </row>
    <row r="63" spans="1:86" ht="15" customHeight="1" x14ac:dyDescent="0.25">
      <c r="A63" s="12">
        <v>0</v>
      </c>
      <c r="B63" s="12">
        <v>0</v>
      </c>
      <c r="C63" s="12">
        <v>1</v>
      </c>
      <c r="D63" s="12">
        <v>0</v>
      </c>
      <c r="E63" s="12">
        <v>1</v>
      </c>
      <c r="F63" s="12">
        <v>0</v>
      </c>
      <c r="G63" s="12">
        <v>0</v>
      </c>
      <c r="H63" s="30" t="str">
        <f>"{{"&amp;H60&amp;"}"&amp;", "&amp;$H$1&amp;"},  //"&amp;H62&amp;":"&amp;L58&amp;":"&amp;N58</f>
        <v>{{0x0, 0x1, 0x3F, 0x24, 0x18, 0x0, 0x0}, 7},  //Ъ:208:170</v>
      </c>
      <c r="I63" s="35"/>
      <c r="J63" s="35"/>
      <c r="K63" s="35"/>
      <c r="L63" s="35"/>
      <c r="M63" s="35"/>
      <c r="N63" s="35"/>
      <c r="O63" s="12">
        <v>0</v>
      </c>
      <c r="P63" s="12">
        <v>1</v>
      </c>
      <c r="Q63" s="12">
        <v>0</v>
      </c>
      <c r="R63" s="12">
        <v>1</v>
      </c>
      <c r="S63" s="12">
        <v>0</v>
      </c>
      <c r="T63" s="12">
        <v>1</v>
      </c>
      <c r="U63" s="12">
        <v>0</v>
      </c>
      <c r="V63" s="30" t="str">
        <f>"{{"&amp;V60&amp;"}"&amp;", "&amp;$H$1&amp;"},  //"&amp;V62&amp;":"&amp;Z58&amp;":"&amp;AB58</f>
        <v>{{0x0, 0x3F, 0x24, 0x18, 0x0, 0x3F, 0x0}, 7},  //Ы:208:171</v>
      </c>
      <c r="W63" s="35"/>
      <c r="X63" s="35"/>
      <c r="Y63" s="35"/>
      <c r="Z63" s="35"/>
      <c r="AA63" s="35"/>
      <c r="AB63" s="35"/>
      <c r="AC63" s="12">
        <v>0</v>
      </c>
      <c r="AD63" s="12">
        <v>0</v>
      </c>
      <c r="AE63" s="12">
        <v>1</v>
      </c>
      <c r="AF63" s="12">
        <v>0</v>
      </c>
      <c r="AG63" s="12">
        <v>1</v>
      </c>
      <c r="AH63" s="12">
        <v>0</v>
      </c>
      <c r="AI63" s="12">
        <v>0</v>
      </c>
      <c r="AJ63" s="30" t="str">
        <f>"{{"&amp;AJ60&amp;"}"&amp;", "&amp;$H$1&amp;"},  //"&amp;AJ62&amp;":"&amp;AN58&amp;":"&amp;AP58</f>
        <v>{{0x0, 0x0, 0x3F, 0x24, 0x18, 0x0, 0x0}, 7},  //Ь:208:172</v>
      </c>
      <c r="AK63" s="35"/>
      <c r="AL63" s="35"/>
      <c r="AM63" s="35"/>
      <c r="AN63" s="35"/>
      <c r="AO63" s="35"/>
      <c r="AP63" s="35"/>
      <c r="AQ63" s="12">
        <v>0</v>
      </c>
      <c r="AR63" s="12">
        <v>0</v>
      </c>
      <c r="AS63" s="12">
        <v>0</v>
      </c>
      <c r="AT63" s="12">
        <v>0</v>
      </c>
      <c r="AU63" s="12">
        <v>1</v>
      </c>
      <c r="AV63" s="12">
        <v>0</v>
      </c>
      <c r="AW63" s="12">
        <v>0</v>
      </c>
      <c r="AX63" s="30" t="str">
        <f>"{{"&amp;AX60&amp;"}"&amp;", "&amp;$H$1&amp;"},  //"&amp;AX62&amp;":"&amp;BB58&amp;":"&amp;BD58</f>
        <v>{{0x0, 0x22, 0x49, 0x49, 0x3E, 0x0, 0x0}, 7},  //Э:208:173</v>
      </c>
      <c r="AY63" s="35"/>
      <c r="AZ63" s="35"/>
      <c r="BA63" s="35"/>
      <c r="BB63" s="35"/>
      <c r="BC63" s="35"/>
      <c r="BD63" s="35"/>
      <c r="BG63" s="12">
        <v>0</v>
      </c>
      <c r="BH63" s="12">
        <v>1</v>
      </c>
      <c r="BI63" s="12">
        <v>0</v>
      </c>
      <c r="BJ63" s="12">
        <v>0</v>
      </c>
      <c r="BK63" s="12">
        <v>1</v>
      </c>
      <c r="BL63" s="10">
        <v>0</v>
      </c>
      <c r="BM63" s="12">
        <v>0</v>
      </c>
      <c r="BN63" s="30" t="str">
        <f>"{{"&amp;BN60&amp;"}"&amp;", "&amp;$H$1&amp;"},  //"&amp;BN62&amp;":"&amp;BR58&amp;":"&amp;BT58</f>
        <v>{{0x0, 0x1E, 0x21, 0x21, 0x1E, 0x0, 0x0}, 7},  //O:0:79</v>
      </c>
      <c r="BO63" s="35"/>
      <c r="BP63" s="35"/>
      <c r="BQ63" s="35"/>
      <c r="BR63" s="35"/>
      <c r="BS63" s="35"/>
      <c r="BT63" s="35"/>
      <c r="BU63" s="12">
        <v>0</v>
      </c>
      <c r="BV63" s="12">
        <v>1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30" t="str">
        <f>"{{"&amp;CB60&amp;"}"&amp;", "&amp;$H$1&amp;"},  //"&amp;CB62&amp;":"&amp;CF58&amp;":"&amp;CH58</f>
        <v>{{0x0, 0x3F, 0x9, 0x9, 0x6, 0x0, 0x0}, 7},  //P:0:80</v>
      </c>
      <c r="CC63" s="35"/>
      <c r="CD63" s="35"/>
      <c r="CE63" s="35"/>
      <c r="CF63" s="35"/>
      <c r="CG63" s="35"/>
      <c r="CH63" s="35"/>
    </row>
    <row r="64" spans="1:86" x14ac:dyDescent="0.25">
      <c r="A64" s="12">
        <v>0</v>
      </c>
      <c r="B64" s="12">
        <v>0</v>
      </c>
      <c r="C64" s="12">
        <v>1</v>
      </c>
      <c r="D64" s="12">
        <v>1</v>
      </c>
      <c r="E64" s="12">
        <v>0</v>
      </c>
      <c r="F64" s="12">
        <v>0</v>
      </c>
      <c r="G64" s="12">
        <v>0</v>
      </c>
      <c r="H64" s="30"/>
      <c r="I64" s="35"/>
      <c r="J64" s="35"/>
      <c r="K64" s="35"/>
      <c r="L64" s="35"/>
      <c r="M64" s="35"/>
      <c r="N64" s="35"/>
      <c r="O64" s="12">
        <v>0</v>
      </c>
      <c r="P64" s="12">
        <v>1</v>
      </c>
      <c r="Q64" s="12">
        <v>1</v>
      </c>
      <c r="R64" s="12">
        <v>0</v>
      </c>
      <c r="S64" s="12">
        <v>0</v>
      </c>
      <c r="T64" s="12">
        <v>1</v>
      </c>
      <c r="U64" s="12">
        <v>0</v>
      </c>
      <c r="V64" s="30"/>
      <c r="W64" s="35"/>
      <c r="X64" s="35"/>
      <c r="Y64" s="35"/>
      <c r="Z64" s="35"/>
      <c r="AA64" s="35"/>
      <c r="AB64" s="35"/>
      <c r="AC64" s="12">
        <v>0</v>
      </c>
      <c r="AD64" s="12">
        <v>0</v>
      </c>
      <c r="AE64" s="12">
        <v>1</v>
      </c>
      <c r="AF64" s="12">
        <v>1</v>
      </c>
      <c r="AG64" s="12">
        <v>0</v>
      </c>
      <c r="AH64" s="12">
        <v>0</v>
      </c>
      <c r="AI64" s="12">
        <v>0</v>
      </c>
      <c r="AJ64" s="30"/>
      <c r="AK64" s="35"/>
      <c r="AL64" s="35"/>
      <c r="AM64" s="35"/>
      <c r="AN64" s="35"/>
      <c r="AO64" s="35"/>
      <c r="AP64" s="35"/>
      <c r="AQ64" s="12">
        <v>0</v>
      </c>
      <c r="AR64" s="12">
        <v>1</v>
      </c>
      <c r="AS64" s="12">
        <v>0</v>
      </c>
      <c r="AT64" s="12">
        <v>0</v>
      </c>
      <c r="AU64" s="12">
        <v>1</v>
      </c>
      <c r="AV64" s="12">
        <v>0</v>
      </c>
      <c r="AW64" s="12">
        <v>0</v>
      </c>
      <c r="AX64" s="30"/>
      <c r="AY64" s="35"/>
      <c r="AZ64" s="35"/>
      <c r="BA64" s="35"/>
      <c r="BB64" s="35"/>
      <c r="BC64" s="35"/>
      <c r="BD64" s="35"/>
      <c r="BG64" s="12">
        <v>0</v>
      </c>
      <c r="BH64" s="12">
        <v>0</v>
      </c>
      <c r="BI64" s="12">
        <v>1</v>
      </c>
      <c r="BJ64" s="12">
        <v>1</v>
      </c>
      <c r="BK64" s="12">
        <v>0</v>
      </c>
      <c r="BL64" s="10">
        <v>0</v>
      </c>
      <c r="BM64" s="12">
        <v>0</v>
      </c>
      <c r="BN64" s="30"/>
      <c r="BO64" s="35"/>
      <c r="BP64" s="35"/>
      <c r="BQ64" s="35"/>
      <c r="BR64" s="35"/>
      <c r="BS64" s="35"/>
      <c r="BT64" s="35"/>
      <c r="BU64" s="12">
        <v>0</v>
      </c>
      <c r="BV64" s="12">
        <v>1</v>
      </c>
      <c r="BW64" s="12">
        <v>0</v>
      </c>
      <c r="BX64" s="12">
        <v>0</v>
      </c>
      <c r="BY64" s="12">
        <v>0</v>
      </c>
      <c r="BZ64" s="12">
        <v>0</v>
      </c>
      <c r="CA64" s="12">
        <v>0</v>
      </c>
      <c r="CB64" s="30"/>
      <c r="CC64" s="35"/>
      <c r="CD64" s="35"/>
      <c r="CE64" s="35"/>
      <c r="CF64" s="35"/>
      <c r="CG64" s="35"/>
      <c r="CH64" s="35"/>
    </row>
    <row r="65" spans="1:86" x14ac:dyDescent="0.25">
      <c r="A65" s="13">
        <v>0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36" t="s">
        <v>48</v>
      </c>
      <c r="I65" s="37"/>
      <c r="J65" s="37"/>
      <c r="K65" s="37"/>
      <c r="L65" s="38">
        <v>209</v>
      </c>
      <c r="M65" s="38"/>
      <c r="N65" s="19">
        <v>138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36" t="s">
        <v>48</v>
      </c>
      <c r="W65" s="37"/>
      <c r="X65" s="37"/>
      <c r="Y65" s="37"/>
      <c r="Z65" s="38">
        <v>209</v>
      </c>
      <c r="AA65" s="38"/>
      <c r="AB65" s="19">
        <v>139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36" t="s">
        <v>48</v>
      </c>
      <c r="AK65" s="37"/>
      <c r="AL65" s="37"/>
      <c r="AM65" s="37"/>
      <c r="AN65" s="38">
        <v>209</v>
      </c>
      <c r="AO65" s="38"/>
      <c r="AP65" s="19">
        <v>140</v>
      </c>
      <c r="AQ65" s="12">
        <v>0</v>
      </c>
      <c r="AR65" s="12">
        <v>0</v>
      </c>
      <c r="AS65" s="12">
        <v>1</v>
      </c>
      <c r="AT65" s="12">
        <v>1</v>
      </c>
      <c r="AU65" s="12">
        <v>0</v>
      </c>
      <c r="AV65" s="12">
        <v>0</v>
      </c>
      <c r="AW65" s="12">
        <v>0</v>
      </c>
      <c r="AX65" s="36" t="s">
        <v>48</v>
      </c>
      <c r="AY65" s="37"/>
      <c r="AZ65" s="37"/>
      <c r="BA65" s="37"/>
      <c r="BB65" s="38">
        <v>209</v>
      </c>
      <c r="BC65" s="38"/>
      <c r="BD65" s="19">
        <v>141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36" t="s">
        <v>48</v>
      </c>
      <c r="BO65" s="37"/>
      <c r="BP65" s="37"/>
      <c r="BQ65" s="37"/>
      <c r="BR65" s="38"/>
      <c r="BS65" s="38"/>
      <c r="BT65" s="19"/>
      <c r="BU65" s="12">
        <v>0</v>
      </c>
      <c r="BV65" s="12">
        <v>0</v>
      </c>
      <c r="BW65" s="12">
        <v>0</v>
      </c>
      <c r="BX65" s="12">
        <v>0</v>
      </c>
      <c r="BY65" s="12">
        <v>0</v>
      </c>
      <c r="BZ65" s="12">
        <v>0</v>
      </c>
      <c r="CA65" s="12">
        <v>0</v>
      </c>
      <c r="CB65" s="36" t="s">
        <v>48</v>
      </c>
      <c r="CC65" s="37"/>
      <c r="CD65" s="37"/>
      <c r="CE65" s="37"/>
      <c r="CF65" s="38"/>
      <c r="CG65" s="38"/>
      <c r="CH65" s="19"/>
    </row>
    <row r="66" spans="1:86" s="4" customFormat="1" x14ac:dyDescent="0.25">
      <c r="A66" s="9">
        <v>1</v>
      </c>
      <c r="B66" s="9">
        <v>2</v>
      </c>
      <c r="C66" s="9">
        <v>3</v>
      </c>
      <c r="D66" s="9">
        <v>4</v>
      </c>
      <c r="E66" s="9">
        <v>5</v>
      </c>
      <c r="F66" s="9">
        <v>6</v>
      </c>
      <c r="G66" s="9">
        <v>7</v>
      </c>
      <c r="H66" s="39" t="s">
        <v>0</v>
      </c>
      <c r="I66" s="39"/>
      <c r="J66" s="39"/>
      <c r="K66" s="39"/>
      <c r="L66" s="40">
        <v>208</v>
      </c>
      <c r="M66" s="40"/>
      <c r="N66" s="15">
        <v>174</v>
      </c>
      <c r="O66" s="9">
        <v>1</v>
      </c>
      <c r="P66" s="9">
        <v>2</v>
      </c>
      <c r="Q66" s="9">
        <v>3</v>
      </c>
      <c r="R66" s="9">
        <v>4</v>
      </c>
      <c r="S66" s="9">
        <v>5</v>
      </c>
      <c r="T66" s="9">
        <v>6</v>
      </c>
      <c r="U66" s="9">
        <v>7</v>
      </c>
      <c r="V66" s="39" t="s">
        <v>0</v>
      </c>
      <c r="W66" s="39"/>
      <c r="X66" s="39"/>
      <c r="Y66" s="39"/>
      <c r="Z66" s="40">
        <v>208</v>
      </c>
      <c r="AA66" s="40"/>
      <c r="AB66" s="15">
        <v>175</v>
      </c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20"/>
      <c r="BF66" s="20"/>
      <c r="BG66" s="9">
        <v>1</v>
      </c>
      <c r="BH66" s="9">
        <v>2</v>
      </c>
      <c r="BI66" s="9">
        <v>3</v>
      </c>
      <c r="BJ66" s="9">
        <v>4</v>
      </c>
      <c r="BK66" s="9">
        <v>5</v>
      </c>
      <c r="BL66" s="9">
        <v>6</v>
      </c>
      <c r="BM66" s="9">
        <v>7</v>
      </c>
      <c r="BN66" s="39" t="s">
        <v>0</v>
      </c>
      <c r="BO66" s="39"/>
      <c r="BP66" s="39"/>
      <c r="BQ66" s="39"/>
      <c r="BR66" s="40">
        <v>0</v>
      </c>
      <c r="BS66" s="40"/>
      <c r="BT66" s="15">
        <v>81</v>
      </c>
      <c r="BU66" s="9">
        <v>1</v>
      </c>
      <c r="BV66" s="9">
        <v>2</v>
      </c>
      <c r="BW66" s="9">
        <v>3</v>
      </c>
      <c r="BX66" s="9">
        <v>4</v>
      </c>
      <c r="BY66" s="9">
        <v>5</v>
      </c>
      <c r="BZ66" s="9">
        <v>6</v>
      </c>
      <c r="CA66" s="9">
        <v>7</v>
      </c>
      <c r="CB66" s="39" t="s">
        <v>0</v>
      </c>
      <c r="CC66" s="39"/>
      <c r="CD66" s="39"/>
      <c r="CE66" s="39"/>
      <c r="CF66" s="40">
        <v>0</v>
      </c>
      <c r="CG66" s="40"/>
      <c r="CH66" s="15">
        <v>82</v>
      </c>
    </row>
    <row r="67" spans="1:86" ht="15" customHeight="1" x14ac:dyDescent="0.25">
      <c r="A67" s="10">
        <v>0</v>
      </c>
      <c r="B67" s="10">
        <v>1</v>
      </c>
      <c r="C67" s="10">
        <v>0</v>
      </c>
      <c r="D67" s="10">
        <v>0</v>
      </c>
      <c r="E67" s="10">
        <v>1</v>
      </c>
      <c r="F67" s="10">
        <v>0</v>
      </c>
      <c r="G67" s="10">
        <v>0</v>
      </c>
      <c r="H67" s="11" t="str">
        <f>BIN2HEX(A73&amp;A72&amp;A71&amp;A70&amp;A69&amp;A68&amp;A67)</f>
        <v>0</v>
      </c>
      <c r="I67" s="11" t="str">
        <f>BIN2HEX(B73&amp;B72&amp;B71&amp;B70&amp;B69&amp;B68&amp;B67)</f>
        <v>3F</v>
      </c>
      <c r="J67" s="11" t="str">
        <f t="shared" ref="J67" si="240">BIN2HEX(C73&amp;C72&amp;C71&amp;C70&amp;C69&amp;C68&amp;C67)</f>
        <v>8</v>
      </c>
      <c r="K67" s="11" t="str">
        <f t="shared" ref="K67" si="241">BIN2HEX(D73&amp;D72&amp;D71&amp;D70&amp;D69&amp;D68&amp;D67)</f>
        <v>1E</v>
      </c>
      <c r="L67" s="11" t="str">
        <f t="shared" ref="L67" si="242">BIN2HEX(E73&amp;E72&amp;E71&amp;E70&amp;E69&amp;E68&amp;E67)</f>
        <v>21</v>
      </c>
      <c r="M67" s="11" t="str">
        <f t="shared" ref="M67" si="243">BIN2HEX(F73&amp;F72&amp;F71&amp;F70&amp;F69&amp;F68&amp;F67)</f>
        <v>1E</v>
      </c>
      <c r="N67" s="11" t="str">
        <f t="shared" ref="N67" si="244">BIN2HEX(G73&amp;G72&amp;G71&amp;G70&amp;G69&amp;G68&amp;G67)</f>
        <v>0</v>
      </c>
      <c r="O67" s="10">
        <v>0</v>
      </c>
      <c r="P67" s="10">
        <v>0</v>
      </c>
      <c r="Q67" s="10">
        <v>1</v>
      </c>
      <c r="R67" s="10">
        <v>1</v>
      </c>
      <c r="S67" s="10">
        <v>1</v>
      </c>
      <c r="T67" s="10">
        <v>0</v>
      </c>
      <c r="U67" s="10">
        <v>0</v>
      </c>
      <c r="V67" s="11" t="str">
        <f>BIN2HEX(O73&amp;O72&amp;O71&amp;O70&amp;O69&amp;O68&amp;O67)</f>
        <v>0</v>
      </c>
      <c r="W67" s="11" t="str">
        <f>BIN2HEX(P73&amp;P72&amp;P71&amp;P70&amp;P69&amp;P68&amp;P67)</f>
        <v>26</v>
      </c>
      <c r="X67" s="11" t="str">
        <f t="shared" ref="X67" si="245">BIN2HEX(Q73&amp;Q72&amp;Q71&amp;Q70&amp;Q69&amp;Q68&amp;Q67)</f>
        <v>19</v>
      </c>
      <c r="Y67" s="11" t="str">
        <f t="shared" ref="Y67" si="246">BIN2HEX(R73&amp;R72&amp;R71&amp;R70&amp;R69&amp;R68&amp;R67)</f>
        <v>9</v>
      </c>
      <c r="Z67" s="11" t="str">
        <f t="shared" ref="Z67" si="247">BIN2HEX(S73&amp;S72&amp;S71&amp;S70&amp;S69&amp;S68&amp;S67)</f>
        <v>3F</v>
      </c>
      <c r="AA67" s="11" t="str">
        <f t="shared" ref="AA67" si="248">BIN2HEX(T73&amp;T72&amp;T71&amp;T70&amp;T69&amp;T68&amp;T67)</f>
        <v>0</v>
      </c>
      <c r="AB67" s="11" t="str">
        <f t="shared" ref="AB67" si="249">BIN2HEX(U73&amp;U72&amp;U71&amp;U70&amp;U69&amp;U68&amp;U67)</f>
        <v>0</v>
      </c>
      <c r="AC67" s="29" t="str">
        <f xml:space="preserve"> AJ7
&amp;CHAR(10)&amp;AX7
&amp;CHAR(10)&amp;H15
&amp;CHAR(10)&amp;V15
&amp;CHAR(10)&amp;AJ15
&amp;CHAR(10)&amp;AX15
&amp;CHAR(10)&amp;H23
&amp;CHAR(10)&amp;V23
&amp;CHAR(10)&amp;AJ23
&amp;CHAR(10)&amp;AX23
&amp;CHAR(10)&amp;H31
&amp;CHAR(10)&amp;V31
&amp;CHAR(10)&amp;AJ31
&amp;CHAR(10)&amp;AX31
&amp;CHAR(10)&amp;H39
&amp;CHAR(10)&amp;V39
&amp;CHAR(10)&amp;AJ39
&amp;CHAR(10)&amp;AX39
&amp;CHAR(10)&amp;H47
&amp;CHAR(10)&amp;V47
&amp;CHAR(10)&amp;AJ47
&amp;CHAR(10)&amp;AX47
&amp;CHAR(10)&amp;H55
&amp;CHAR(10)&amp;V55
&amp;CHAR(10)&amp;AJ55
&amp;CHAR(10)&amp;AX55
&amp;CHAR(10)&amp;H63
&amp;CHAR(10)&amp;V63
&amp;CHAR(10)&amp;AJ63
&amp;CHAR(10)&amp;AX63
&amp;CHAR(10)&amp;H71
&amp;CHAR(10)&amp;V71</f>
        <v>{{0x0, 0x3E, 0x9, 0x9, 0x3E, 0x0, 0x0}, 7},  //А:208:144
{{0x0, 0x3F, 0x25, 0x25, 0x3D, 0x0, 0x0}, 7},  //Б:208:145
{{0x0, 0x3F, 0x25, 0x25, 0x1A, 0x0, 0x0}, 7},  //В:208:146
{{0x0, 0x3E, 0x1, 0x1, 0x1, 0x0, 0x0}, 7},  //Г:208:147
{{0x0, 0x30, 0x1E, 0x11, 0x3F, 0x0, 0x0}, 7},  //Д:208:148
{{0x0, 0x1E, 0x29, 0x29, 0x26, 0x0, 0x0}, 7},  //Е:208:149
{{0x0, 0x37, 0x8, 0x3F, 0x8, 0x37, 0x0}, 7},  //Ж:208:150
{{0x0, 0x25, 0x25, 0x25, 0x1A, 0x0, 0x0}, 7},  //З:208:151
{{0x0, 0x3F, 0x8, 0x4, 0x3F, 0x0, 0x0}, 7},  //И:208:152
{{0x0, 0x3C, 0x11, 0x9, 0x3C, 0x0, 0x0}, 7},  //Й:208:153
{{0x0, 0x3F, 0x4, 0xA, 0x31, 0x0, 0x0}, 7},  //К:208:154
{{0x0, 0x20, 0x1E, 0x1, 0x3E, 0x0, 0x0}, 7},  //Л:208:155
{{0x0, 0x3F, 0x6, 0x18, 0x6, 0x3F, 0x0}, 7},  //М:208:156
{{0x0, 0x3F, 0x4, 0x4, 0x3F, 0x0, 0x0}, 7},  //Н:208:157
{{0x0, 0x1E, 0x21, 0x21, 0x1E, 0x0, 0x0}, 7},  //О:208:158
{{0x0, 0x3F, 0x1, 0x1, 0x3F, 0x0, 0x0}, 7},  //П:208:159
{{0x0, 0x3F, 0x9, 0x9, 0x6, 0x0, 0x0}, 7},  //Р:208:160
{{0x0, 0x1E, 0x21, 0x21, 0x21, 0x0, 0x0}, 7},  //С:208:161
{{0x0, 0x1, 0x1, 0x3F, 0x1, 0x1, 0x0}, 7},  //Т:208:162
{{0x0, 0x13, 0x24, 0x24, 0x1F, 0x0, 0x0}, 7},  //У:208:163
{{0x0, 0x6, 0x9, 0x3F, 0x9, 0x6, 0x0}, 7},  //Ф:208:164
{{0x0, 0x31, 0xA, 0x4, 0xA, 0x31, 0x0}, 7},  //Х:208:165
{{0x0, 0x3F, 0x20, 0x20, 0x3F, 0x60, 0x0}, 7},  //Ц:208:166
{{0x0, 0xF, 0x8, 0x8, 0x3F, 0x0, 0x0}, 7},  //Ч:208:167
{{0x0, 0x3F, 0x20, 0x3F, 0x20, 0x3F, 0x0}, 7},  //Ш:208:168
{{0x0, 0x3F, 0x20, 0x3F, 0x20, 0x3F, 0x60}, 7},  //Щ:208:169
{{0x0, 0x1, 0x3F, 0x24, 0x18, 0x0, 0x0}, 7},  //Ъ:208:170
{{0x0, 0x3F, 0x24, 0x18, 0x0, 0x3F, 0x0}, 7},  //Ы:208:171
{{0x0, 0x0, 0x3F, 0x24, 0x18, 0x0, 0x0}, 7},  //Ь:208:172
{{0x0, 0x22, 0x49, 0x49, 0x3E, 0x0, 0x0}, 7},  //Э:208:173
{{0x0, 0x3F, 0x8, 0x1E, 0x21, 0x1E, 0x0}, 7},  //Ю:208:174
{{0x0, 0x26, 0x19, 0x9, 0x3F, 0x0, 0x0}, 7},  //Я:208:175</v>
      </c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G67" s="10">
        <v>0</v>
      </c>
      <c r="BH67" s="10">
        <v>0</v>
      </c>
      <c r="BI67" s="10">
        <v>1</v>
      </c>
      <c r="BJ67" s="10">
        <v>1</v>
      </c>
      <c r="BK67" s="10">
        <v>0</v>
      </c>
      <c r="BL67" s="10">
        <v>0</v>
      </c>
      <c r="BM67" s="10">
        <v>0</v>
      </c>
      <c r="BN67" s="11" t="str">
        <f>BIN2HEX(BG73&amp;BG72&amp;BG71&amp;BG70&amp;BG69&amp;BG68&amp;BG67)</f>
        <v>0</v>
      </c>
      <c r="BO67" s="11" t="str">
        <f>BIN2HEX(BH73&amp;BH72&amp;BH71&amp;BH70&amp;BH69&amp;BH68&amp;BH67)</f>
        <v>1E</v>
      </c>
      <c r="BP67" s="11" t="str">
        <f t="shared" ref="BP67" si="250">BIN2HEX(BI73&amp;BI72&amp;BI71&amp;BI70&amp;BI69&amp;BI68&amp;BI67)</f>
        <v>21</v>
      </c>
      <c r="BQ67" s="11" t="str">
        <f t="shared" ref="BQ67" si="251">BIN2HEX(BJ73&amp;BJ72&amp;BJ71&amp;BJ70&amp;BJ69&amp;BJ68&amp;BJ67)</f>
        <v>21</v>
      </c>
      <c r="BR67" s="11" t="str">
        <f t="shared" ref="BR67" si="252">BIN2HEX(BK73&amp;BK72&amp;BK71&amp;BK70&amp;BK69&amp;BK68&amp;BK67)</f>
        <v>3E</v>
      </c>
      <c r="BS67" s="11" t="str">
        <f t="shared" ref="BS67" si="253">BIN2HEX(BL73&amp;BL72&amp;BL71&amp;BL70&amp;BL69&amp;BL68&amp;BL67)</f>
        <v>20</v>
      </c>
      <c r="BT67" s="11" t="str">
        <f t="shared" ref="BT67" si="254">BIN2HEX(BM73&amp;BM72&amp;BM71&amp;BM70&amp;BM69&amp;BM68&amp;BM67)</f>
        <v>0</v>
      </c>
      <c r="BU67" s="10">
        <v>0</v>
      </c>
      <c r="BV67" s="10">
        <v>1</v>
      </c>
      <c r="BW67" s="10">
        <v>1</v>
      </c>
      <c r="BX67" s="10">
        <v>1</v>
      </c>
      <c r="BY67" s="10">
        <v>0</v>
      </c>
      <c r="BZ67" s="10">
        <v>0</v>
      </c>
      <c r="CA67" s="10">
        <v>0</v>
      </c>
      <c r="CB67" s="11" t="str">
        <f>BIN2HEX(BU73&amp;BU72&amp;BU71&amp;BU70&amp;BU69&amp;BU68&amp;BU67)</f>
        <v>0</v>
      </c>
      <c r="CC67" s="11" t="str">
        <f>BIN2HEX(BV73&amp;BV72&amp;BV71&amp;BV70&amp;BV69&amp;BV68&amp;BV67)</f>
        <v>3F</v>
      </c>
      <c r="CD67" s="11" t="str">
        <f t="shared" ref="CD67" si="255">BIN2HEX(BW73&amp;BW72&amp;BW71&amp;BW70&amp;BW69&amp;BW68&amp;BW67)</f>
        <v>9</v>
      </c>
      <c r="CE67" s="11" t="str">
        <f t="shared" ref="CE67" si="256">BIN2HEX(BX73&amp;BX72&amp;BX71&amp;BX70&amp;BX69&amp;BX68&amp;BX67)</f>
        <v>19</v>
      </c>
      <c r="CF67" s="11" t="str">
        <f t="shared" ref="CF67" si="257">BIN2HEX(BY73&amp;BY72&amp;BY71&amp;BY70&amp;BY69&amp;BY68&amp;BY67)</f>
        <v>26</v>
      </c>
      <c r="CG67" s="11" t="str">
        <f t="shared" ref="CG67" si="258">BIN2HEX(BZ73&amp;BZ72&amp;BZ71&amp;BZ70&amp;BZ69&amp;BZ68&amp;BZ67)</f>
        <v>0</v>
      </c>
      <c r="CH67" s="11" t="str">
        <f t="shared" ref="CH67" si="259">BIN2HEX(CA73&amp;CA72&amp;CA71&amp;CA70&amp;CA69&amp;CA68&amp;CA67)</f>
        <v>0</v>
      </c>
    </row>
    <row r="68" spans="1:86" ht="15" customHeight="1" x14ac:dyDescent="0.25">
      <c r="A68" s="12">
        <v>0</v>
      </c>
      <c r="B68" s="12">
        <v>1</v>
      </c>
      <c r="C68" s="12">
        <v>0</v>
      </c>
      <c r="D68" s="12">
        <v>1</v>
      </c>
      <c r="E68" s="12">
        <v>0</v>
      </c>
      <c r="F68" s="12">
        <v>1</v>
      </c>
      <c r="G68" s="10">
        <v>0</v>
      </c>
      <c r="H68" s="34" t="str">
        <f>"0x"&amp;H67&amp;", 0x"&amp;I67&amp;", 0x"&amp;J67&amp;", 0x"&amp;K67&amp;", 0x"&amp;L67&amp;", 0x"&amp;M67&amp;", 0x"&amp;N67</f>
        <v>0x0, 0x3F, 0x8, 0x1E, 0x21, 0x1E, 0x0</v>
      </c>
      <c r="I68" s="35"/>
      <c r="J68" s="35"/>
      <c r="K68" s="35"/>
      <c r="L68" s="35"/>
      <c r="M68" s="35"/>
      <c r="N68" s="35"/>
      <c r="O68" s="12">
        <v>0</v>
      </c>
      <c r="P68" s="10">
        <v>1</v>
      </c>
      <c r="Q68" s="12">
        <v>0</v>
      </c>
      <c r="R68" s="12">
        <v>0</v>
      </c>
      <c r="S68" s="12">
        <v>1</v>
      </c>
      <c r="T68" s="12">
        <v>0</v>
      </c>
      <c r="U68" s="12">
        <v>0</v>
      </c>
      <c r="V68" s="34" t="str">
        <f>"0x"&amp;V67&amp;", 0x"&amp;W67&amp;", 0x"&amp;X67&amp;", 0x"&amp;Y67&amp;", 0x"&amp;Z67&amp;", 0x"&amp;AA67&amp;", 0x"&amp;AB67</f>
        <v>0x0, 0x26, 0x19, 0x9, 0x3F, 0x0, 0x0</v>
      </c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G68" s="12">
        <v>0</v>
      </c>
      <c r="BH68" s="12">
        <v>1</v>
      </c>
      <c r="BI68" s="12">
        <v>0</v>
      </c>
      <c r="BJ68" s="12">
        <v>0</v>
      </c>
      <c r="BK68" s="12">
        <v>1</v>
      </c>
      <c r="BL68" s="12">
        <v>0</v>
      </c>
      <c r="BM68" s="10">
        <v>0</v>
      </c>
      <c r="BN68" s="34" t="str">
        <f>"0x"&amp;BN67&amp;", 0x"&amp;BO67&amp;", 0x"&amp;BP67&amp;", 0x"&amp;BQ67&amp;", 0x"&amp;BR67&amp;", 0x"&amp;BS67&amp;", 0x"&amp;BT67</f>
        <v>0x0, 0x1E, 0x21, 0x21, 0x3E, 0x20, 0x0</v>
      </c>
      <c r="BO68" s="35"/>
      <c r="BP68" s="35"/>
      <c r="BQ68" s="35"/>
      <c r="BR68" s="35"/>
      <c r="BS68" s="35"/>
      <c r="BT68" s="35"/>
      <c r="BU68" s="12">
        <v>0</v>
      </c>
      <c r="BV68" s="12">
        <v>1</v>
      </c>
      <c r="BW68" s="12">
        <v>0</v>
      </c>
      <c r="BX68" s="12">
        <v>0</v>
      </c>
      <c r="BY68" s="12">
        <v>1</v>
      </c>
      <c r="BZ68" s="12">
        <v>0</v>
      </c>
      <c r="CA68" s="12">
        <v>0</v>
      </c>
      <c r="CB68" s="34" t="str">
        <f>"0x"&amp;CB67&amp;", 0x"&amp;CC67&amp;", 0x"&amp;CD67&amp;", 0x"&amp;CE67&amp;", 0x"&amp;CF67&amp;", 0x"&amp;CG67&amp;", 0x"&amp;CH67</f>
        <v>0x0, 0x3F, 0x9, 0x19, 0x26, 0x0, 0x0</v>
      </c>
      <c r="CC68" s="35"/>
      <c r="CD68" s="35"/>
      <c r="CE68" s="35"/>
      <c r="CF68" s="35"/>
      <c r="CG68" s="35"/>
      <c r="CH68" s="35"/>
    </row>
    <row r="69" spans="1:86" x14ac:dyDescent="0.25">
      <c r="A69" s="12">
        <v>0</v>
      </c>
      <c r="B69" s="12">
        <v>1</v>
      </c>
      <c r="C69" s="12">
        <v>0</v>
      </c>
      <c r="D69" s="12">
        <v>1</v>
      </c>
      <c r="E69" s="12">
        <v>0</v>
      </c>
      <c r="F69" s="12">
        <v>1</v>
      </c>
      <c r="G69" s="10">
        <v>0</v>
      </c>
      <c r="H69" s="34"/>
      <c r="I69" s="35"/>
      <c r="J69" s="35"/>
      <c r="K69" s="35"/>
      <c r="L69" s="35"/>
      <c r="M69" s="35"/>
      <c r="N69" s="35"/>
      <c r="O69" s="12">
        <v>0</v>
      </c>
      <c r="P69" s="10">
        <v>1</v>
      </c>
      <c r="Q69" s="12">
        <v>0</v>
      </c>
      <c r="R69" s="12">
        <v>0</v>
      </c>
      <c r="S69" s="12">
        <v>1</v>
      </c>
      <c r="T69" s="12">
        <v>0</v>
      </c>
      <c r="U69" s="12">
        <v>0</v>
      </c>
      <c r="V69" s="34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G69" s="12">
        <v>0</v>
      </c>
      <c r="BH69" s="12">
        <v>1</v>
      </c>
      <c r="BI69" s="12">
        <v>0</v>
      </c>
      <c r="BJ69" s="12">
        <v>0</v>
      </c>
      <c r="BK69" s="12">
        <v>1</v>
      </c>
      <c r="BL69" s="12">
        <v>0</v>
      </c>
      <c r="BM69" s="10">
        <v>0</v>
      </c>
      <c r="BN69" s="34"/>
      <c r="BO69" s="35"/>
      <c r="BP69" s="35"/>
      <c r="BQ69" s="35"/>
      <c r="BR69" s="35"/>
      <c r="BS69" s="35"/>
      <c r="BT69" s="35"/>
      <c r="BU69" s="12">
        <v>0</v>
      </c>
      <c r="BV69" s="12">
        <v>1</v>
      </c>
      <c r="BW69" s="12">
        <v>0</v>
      </c>
      <c r="BX69" s="12">
        <v>0</v>
      </c>
      <c r="BY69" s="12">
        <v>1</v>
      </c>
      <c r="BZ69" s="12">
        <v>0</v>
      </c>
      <c r="CA69" s="12">
        <v>0</v>
      </c>
      <c r="CB69" s="34"/>
      <c r="CC69" s="35"/>
      <c r="CD69" s="35"/>
      <c r="CE69" s="35"/>
      <c r="CF69" s="35"/>
      <c r="CG69" s="35"/>
      <c r="CH69" s="35"/>
    </row>
    <row r="70" spans="1:86" x14ac:dyDescent="0.25">
      <c r="A70" s="12">
        <v>0</v>
      </c>
      <c r="B70" s="12">
        <v>1</v>
      </c>
      <c r="C70" s="12">
        <v>1</v>
      </c>
      <c r="D70" s="12">
        <v>1</v>
      </c>
      <c r="E70" s="12">
        <v>0</v>
      </c>
      <c r="F70" s="12">
        <v>1</v>
      </c>
      <c r="G70" s="10">
        <v>0</v>
      </c>
      <c r="H70" s="36" t="s">
        <v>30</v>
      </c>
      <c r="I70" s="37"/>
      <c r="J70" s="37"/>
      <c r="K70" s="37"/>
      <c r="L70" s="37"/>
      <c r="M70" s="37"/>
      <c r="N70" s="37"/>
      <c r="O70" s="12">
        <v>0</v>
      </c>
      <c r="P70" s="10">
        <v>0</v>
      </c>
      <c r="Q70" s="12">
        <v>1</v>
      </c>
      <c r="R70" s="12">
        <v>1</v>
      </c>
      <c r="S70" s="12">
        <v>1</v>
      </c>
      <c r="T70" s="12">
        <v>0</v>
      </c>
      <c r="U70" s="12">
        <v>0</v>
      </c>
      <c r="V70" s="36" t="s">
        <v>31</v>
      </c>
      <c r="W70" s="37"/>
      <c r="X70" s="37"/>
      <c r="Y70" s="37"/>
      <c r="Z70" s="37"/>
      <c r="AA70" s="37"/>
      <c r="AB70" s="37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G70" s="12">
        <v>0</v>
      </c>
      <c r="BH70" s="12">
        <v>1</v>
      </c>
      <c r="BI70" s="12">
        <v>0</v>
      </c>
      <c r="BJ70" s="12">
        <v>0</v>
      </c>
      <c r="BK70" s="12">
        <v>1</v>
      </c>
      <c r="BL70" s="12">
        <v>0</v>
      </c>
      <c r="BM70" s="10">
        <v>0</v>
      </c>
      <c r="BN70" s="36" t="s">
        <v>70</v>
      </c>
      <c r="BO70" s="37"/>
      <c r="BP70" s="37"/>
      <c r="BQ70" s="37"/>
      <c r="BR70" s="37"/>
      <c r="BS70" s="37"/>
      <c r="BT70" s="37"/>
      <c r="BU70" s="12">
        <v>0</v>
      </c>
      <c r="BV70" s="12">
        <v>1</v>
      </c>
      <c r="BW70" s="12">
        <v>1</v>
      </c>
      <c r="BX70" s="12">
        <v>1</v>
      </c>
      <c r="BY70" s="12">
        <v>0</v>
      </c>
      <c r="BZ70" s="12">
        <v>0</v>
      </c>
      <c r="CA70" s="12">
        <v>0</v>
      </c>
      <c r="CB70" s="36" t="s">
        <v>71</v>
      </c>
      <c r="CC70" s="37"/>
      <c r="CD70" s="37"/>
      <c r="CE70" s="37"/>
      <c r="CF70" s="37"/>
      <c r="CG70" s="37"/>
      <c r="CH70" s="37"/>
    </row>
    <row r="71" spans="1:86" ht="15" customHeight="1" x14ac:dyDescent="0.25">
      <c r="A71" s="12">
        <v>0</v>
      </c>
      <c r="B71" s="12">
        <v>1</v>
      </c>
      <c r="C71" s="12">
        <v>0</v>
      </c>
      <c r="D71" s="12">
        <v>1</v>
      </c>
      <c r="E71" s="12">
        <v>0</v>
      </c>
      <c r="F71" s="12">
        <v>1</v>
      </c>
      <c r="G71" s="10">
        <v>0</v>
      </c>
      <c r="H71" s="30" t="str">
        <f>"{{"&amp;H68&amp;"}"&amp;", "&amp;$H$1&amp;"},  //"&amp;H70&amp;":"&amp;L66&amp;":"&amp;N66</f>
        <v>{{0x0, 0x3F, 0x8, 0x1E, 0x21, 0x1E, 0x0}, 7},  //Ю:208:174</v>
      </c>
      <c r="I71" s="35"/>
      <c r="J71" s="35"/>
      <c r="K71" s="35"/>
      <c r="L71" s="35"/>
      <c r="M71" s="35"/>
      <c r="N71" s="35"/>
      <c r="O71" s="12">
        <v>0</v>
      </c>
      <c r="P71" s="10">
        <v>0</v>
      </c>
      <c r="Q71" s="12">
        <v>1</v>
      </c>
      <c r="R71" s="12">
        <v>0</v>
      </c>
      <c r="S71" s="12">
        <v>1</v>
      </c>
      <c r="T71" s="12">
        <v>0</v>
      </c>
      <c r="U71" s="12">
        <v>0</v>
      </c>
      <c r="V71" s="30" t="str">
        <f>"{{"&amp;V68&amp;"}"&amp;", "&amp;$H$1&amp;"},  //"&amp;V70&amp;":"&amp;Z66&amp;":"&amp;AB66</f>
        <v>{{0x0, 0x26, 0x19, 0x9, 0x3F, 0x0, 0x0}, 7},  //Я:208:175</v>
      </c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G71" s="12">
        <v>0</v>
      </c>
      <c r="BH71" s="12">
        <v>1</v>
      </c>
      <c r="BI71" s="12">
        <v>0</v>
      </c>
      <c r="BJ71" s="12">
        <v>0</v>
      </c>
      <c r="BK71" s="12">
        <v>1</v>
      </c>
      <c r="BL71" s="12">
        <v>0</v>
      </c>
      <c r="BM71" s="10">
        <v>0</v>
      </c>
      <c r="BN71" s="30" t="str">
        <f>"{{"&amp;BN68&amp;"}"&amp;", "&amp;$H$1&amp;"},  //"&amp;BN70&amp;":"&amp;BR66&amp;":"&amp;BT66</f>
        <v>{{0x0, 0x1E, 0x21, 0x21, 0x3E, 0x20, 0x0}, 7},  //Q:0:81</v>
      </c>
      <c r="BO71" s="35"/>
      <c r="BP71" s="35"/>
      <c r="BQ71" s="35"/>
      <c r="BR71" s="35"/>
      <c r="BS71" s="35"/>
      <c r="BT71" s="35"/>
      <c r="BU71" s="12">
        <v>0</v>
      </c>
      <c r="BV71" s="12">
        <v>1</v>
      </c>
      <c r="BW71" s="12">
        <v>0</v>
      </c>
      <c r="BX71" s="12">
        <v>1</v>
      </c>
      <c r="BY71" s="12">
        <v>0</v>
      </c>
      <c r="BZ71" s="12">
        <v>0</v>
      </c>
      <c r="CA71" s="12">
        <v>0</v>
      </c>
      <c r="CB71" s="30" t="str">
        <f>"{{"&amp;CB68&amp;"}"&amp;", "&amp;$H$1&amp;"},  //"&amp;CB70&amp;":"&amp;CF66&amp;":"&amp;CH66</f>
        <v>{{0x0, 0x3F, 0x9, 0x19, 0x26, 0x0, 0x0}, 7},  //R:0:82</v>
      </c>
      <c r="CC71" s="35"/>
      <c r="CD71" s="35"/>
      <c r="CE71" s="35"/>
      <c r="CF71" s="35"/>
      <c r="CG71" s="35"/>
      <c r="CH71" s="35"/>
    </row>
    <row r="72" spans="1:86" x14ac:dyDescent="0.25">
      <c r="A72" s="12">
        <v>0</v>
      </c>
      <c r="B72" s="12">
        <v>1</v>
      </c>
      <c r="C72" s="12">
        <v>0</v>
      </c>
      <c r="D72" s="12">
        <v>0</v>
      </c>
      <c r="E72" s="12">
        <v>1</v>
      </c>
      <c r="F72" s="12">
        <v>0</v>
      </c>
      <c r="G72" s="10">
        <v>0</v>
      </c>
      <c r="H72" s="30"/>
      <c r="I72" s="35"/>
      <c r="J72" s="35"/>
      <c r="K72" s="35"/>
      <c r="L72" s="35"/>
      <c r="M72" s="35"/>
      <c r="N72" s="35"/>
      <c r="O72" s="12">
        <v>0</v>
      </c>
      <c r="P72" s="10">
        <v>1</v>
      </c>
      <c r="Q72" s="12">
        <v>0</v>
      </c>
      <c r="R72" s="12">
        <v>0</v>
      </c>
      <c r="S72" s="12">
        <v>1</v>
      </c>
      <c r="T72" s="12">
        <v>0</v>
      </c>
      <c r="U72" s="12">
        <v>0</v>
      </c>
      <c r="V72" s="30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G72" s="12">
        <v>0</v>
      </c>
      <c r="BH72" s="12">
        <v>0</v>
      </c>
      <c r="BI72" s="12">
        <v>1</v>
      </c>
      <c r="BJ72" s="12">
        <v>1</v>
      </c>
      <c r="BK72" s="12">
        <v>1</v>
      </c>
      <c r="BL72" s="12">
        <v>1</v>
      </c>
      <c r="BM72" s="10">
        <v>0</v>
      </c>
      <c r="BN72" s="30"/>
      <c r="BO72" s="35"/>
      <c r="BP72" s="35"/>
      <c r="BQ72" s="35"/>
      <c r="BR72" s="35"/>
      <c r="BS72" s="35"/>
      <c r="BT72" s="35"/>
      <c r="BU72" s="12">
        <v>0</v>
      </c>
      <c r="BV72" s="12">
        <v>1</v>
      </c>
      <c r="BW72" s="12">
        <v>0</v>
      </c>
      <c r="BX72" s="12">
        <v>0</v>
      </c>
      <c r="BY72" s="12">
        <v>1</v>
      </c>
      <c r="BZ72" s="12">
        <v>0</v>
      </c>
      <c r="CA72" s="12">
        <v>0</v>
      </c>
      <c r="CB72" s="30"/>
      <c r="CC72" s="35"/>
      <c r="CD72" s="35"/>
      <c r="CE72" s="35"/>
      <c r="CF72" s="35"/>
      <c r="CG72" s="35"/>
      <c r="CH72" s="35"/>
    </row>
    <row r="73" spans="1:86" x14ac:dyDescent="0.25">
      <c r="A73" s="13">
        <v>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36" t="s">
        <v>48</v>
      </c>
      <c r="I73" s="37"/>
      <c r="J73" s="37"/>
      <c r="K73" s="37"/>
      <c r="L73" s="38">
        <v>209</v>
      </c>
      <c r="M73" s="38"/>
      <c r="N73" s="19">
        <v>142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36" t="s">
        <v>48</v>
      </c>
      <c r="W73" s="37"/>
      <c r="X73" s="37"/>
      <c r="Y73" s="37"/>
      <c r="Z73" s="38">
        <v>209</v>
      </c>
      <c r="AA73" s="38"/>
      <c r="AB73" s="19">
        <v>143</v>
      </c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G73" s="13">
        <v>0</v>
      </c>
      <c r="BH73" s="13">
        <v>0</v>
      </c>
      <c r="BI73" s="13">
        <v>0</v>
      </c>
      <c r="BJ73" s="13">
        <v>0</v>
      </c>
      <c r="BK73" s="13">
        <v>0</v>
      </c>
      <c r="BL73" s="13">
        <v>0</v>
      </c>
      <c r="BM73" s="10">
        <v>0</v>
      </c>
      <c r="BN73" s="36" t="s">
        <v>48</v>
      </c>
      <c r="BO73" s="37"/>
      <c r="BP73" s="37"/>
      <c r="BQ73" s="37"/>
      <c r="BR73" s="38"/>
      <c r="BS73" s="38"/>
      <c r="BT73" s="19"/>
      <c r="BU73" s="12">
        <v>0</v>
      </c>
      <c r="BV73" s="13">
        <v>0</v>
      </c>
      <c r="BW73" s="13">
        <v>0</v>
      </c>
      <c r="BX73" s="13">
        <v>0</v>
      </c>
      <c r="BY73" s="13">
        <v>0</v>
      </c>
      <c r="BZ73" s="13">
        <v>0</v>
      </c>
      <c r="CA73" s="12">
        <v>0</v>
      </c>
      <c r="CB73" s="36" t="s">
        <v>48</v>
      </c>
      <c r="CC73" s="37"/>
      <c r="CD73" s="37"/>
      <c r="CE73" s="37"/>
      <c r="CF73" s="38"/>
      <c r="CG73" s="38"/>
      <c r="CH73" s="19"/>
    </row>
    <row r="74" spans="1:86" s="4" customFormat="1" x14ac:dyDescent="0.25">
      <c r="A74" s="9"/>
      <c r="B74" s="9"/>
      <c r="C74" s="9"/>
      <c r="D74" s="9"/>
      <c r="E74" s="9"/>
      <c r="F74" s="9"/>
      <c r="G74" s="9"/>
      <c r="H74" s="12"/>
      <c r="I74" s="12"/>
      <c r="J74" s="12"/>
      <c r="K74" s="12"/>
      <c r="L74" s="12"/>
      <c r="M74" s="12"/>
      <c r="N74" s="12"/>
      <c r="O74" s="9"/>
      <c r="P74" s="9"/>
      <c r="Q74" s="9"/>
      <c r="R74" s="9"/>
      <c r="S74" s="9"/>
      <c r="T74" s="9"/>
      <c r="U74" s="9"/>
      <c r="V74" s="12"/>
      <c r="W74" s="12"/>
      <c r="X74" s="12"/>
      <c r="Y74" s="12"/>
      <c r="Z74" s="12"/>
      <c r="AA74" s="12"/>
      <c r="AB74" s="12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20"/>
      <c r="BF74" s="20"/>
      <c r="BG74" s="6">
        <v>1</v>
      </c>
      <c r="BH74" s="6">
        <v>2</v>
      </c>
      <c r="BI74" s="6">
        <v>3</v>
      </c>
      <c r="BJ74" s="6">
        <v>4</v>
      </c>
      <c r="BK74" s="6">
        <v>5</v>
      </c>
      <c r="BL74" s="6">
        <v>6</v>
      </c>
      <c r="BM74" s="6">
        <v>7</v>
      </c>
      <c r="BN74" s="44" t="s">
        <v>0</v>
      </c>
      <c r="BO74" s="44"/>
      <c r="BP74" s="44"/>
      <c r="BQ74" s="44"/>
      <c r="BR74" s="45">
        <v>0</v>
      </c>
      <c r="BS74" s="45"/>
      <c r="BT74" s="16">
        <v>83</v>
      </c>
      <c r="BU74" s="9">
        <v>1</v>
      </c>
      <c r="BV74" s="9">
        <v>2</v>
      </c>
      <c r="BW74" s="9">
        <v>3</v>
      </c>
      <c r="BX74" s="9">
        <v>4</v>
      </c>
      <c r="BY74" s="9">
        <v>5</v>
      </c>
      <c r="BZ74" s="9">
        <v>6</v>
      </c>
      <c r="CA74" s="9">
        <v>7</v>
      </c>
      <c r="CB74" s="39" t="s">
        <v>0</v>
      </c>
      <c r="CC74" s="39"/>
      <c r="CD74" s="39"/>
      <c r="CE74" s="39"/>
      <c r="CF74" s="40">
        <v>0</v>
      </c>
      <c r="CG74" s="40"/>
      <c r="CH74" s="15">
        <v>84</v>
      </c>
    </row>
    <row r="75" spans="1:86" x14ac:dyDescent="0.25">
      <c r="A75" s="10"/>
      <c r="B75" s="10"/>
      <c r="C75" s="10"/>
      <c r="D75" s="10"/>
      <c r="E75" s="10"/>
      <c r="F75" s="10"/>
      <c r="G75" s="10"/>
      <c r="H75" s="11"/>
      <c r="I75" s="11"/>
      <c r="J75" s="11"/>
      <c r="K75" s="11"/>
      <c r="L75" s="11"/>
      <c r="M75" s="11"/>
      <c r="N75" s="11"/>
      <c r="O75" s="10"/>
      <c r="P75" s="10"/>
      <c r="Q75" s="10"/>
      <c r="R75" s="10"/>
      <c r="S75" s="10"/>
      <c r="T75" s="10"/>
      <c r="U75" s="10"/>
      <c r="V75" s="11"/>
      <c r="W75" s="11"/>
      <c r="X75" s="11"/>
      <c r="Y75" s="11"/>
      <c r="Z75" s="11"/>
      <c r="AA75" s="11"/>
      <c r="AB75" s="11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G75" s="10">
        <v>0</v>
      </c>
      <c r="BH75" s="10">
        <v>0</v>
      </c>
      <c r="BI75" s="10">
        <v>1</v>
      </c>
      <c r="BJ75" s="10">
        <v>1</v>
      </c>
      <c r="BK75" s="10">
        <v>0</v>
      </c>
      <c r="BL75" s="10">
        <v>0</v>
      </c>
      <c r="BM75" s="10">
        <v>0</v>
      </c>
      <c r="BN75" s="11" t="str">
        <f>BIN2HEX(BG81&amp;BG80&amp;BG79&amp;BG78&amp;BG77&amp;BG76&amp;BG75)</f>
        <v>0</v>
      </c>
      <c r="BO75" s="11" t="str">
        <f>BIN2HEX(BH81&amp;BH80&amp;BH79&amp;BH78&amp;BH77&amp;BH76&amp;BH75)</f>
        <v>12</v>
      </c>
      <c r="BP75" s="11" t="str">
        <f t="shared" ref="BP75" si="260">BIN2HEX(BI81&amp;BI80&amp;BI79&amp;BI78&amp;BI77&amp;BI76&amp;BI75)</f>
        <v>25</v>
      </c>
      <c r="BQ75" s="11" t="str">
        <f t="shared" ref="BQ75" si="261">BIN2HEX(BJ81&amp;BJ80&amp;BJ79&amp;BJ78&amp;BJ77&amp;BJ76&amp;BJ75)</f>
        <v>29</v>
      </c>
      <c r="BR75" s="11" t="str">
        <f t="shared" ref="BR75" si="262">BIN2HEX(BK81&amp;BK80&amp;BK79&amp;BK78&amp;BK77&amp;BK76&amp;BK75)</f>
        <v>12</v>
      </c>
      <c r="BS75" s="11" t="str">
        <f t="shared" ref="BS75" si="263">BIN2HEX(BL81&amp;BL80&amp;BL79&amp;BL78&amp;BL77&amp;BL76&amp;BL75)</f>
        <v>0</v>
      </c>
      <c r="BT75" s="11" t="str">
        <f t="shared" ref="BT75" si="264">BIN2HEX(BM81&amp;BM80&amp;BM79&amp;BM78&amp;BM77&amp;BM76&amp;BM75)</f>
        <v>0</v>
      </c>
      <c r="BU75" s="10">
        <v>0</v>
      </c>
      <c r="BV75" s="10">
        <v>1</v>
      </c>
      <c r="BW75" s="10">
        <v>1</v>
      </c>
      <c r="BX75" s="10">
        <v>1</v>
      </c>
      <c r="BY75" s="10">
        <v>1</v>
      </c>
      <c r="BZ75" s="10">
        <v>1</v>
      </c>
      <c r="CA75" s="10">
        <v>0</v>
      </c>
      <c r="CB75" s="11" t="str">
        <f>BIN2HEX(BU81&amp;BU80&amp;BU79&amp;BU78&amp;BU77&amp;BU76&amp;BU75)</f>
        <v>0</v>
      </c>
      <c r="CC75" s="11" t="str">
        <f>BIN2HEX(BV81&amp;BV80&amp;BV79&amp;BV78&amp;BV77&amp;BV76&amp;BV75)</f>
        <v>1</v>
      </c>
      <c r="CD75" s="11" t="str">
        <f t="shared" ref="CD75" si="265">BIN2HEX(BW81&amp;BW80&amp;BW79&amp;BW78&amp;BW77&amp;BW76&amp;BW75)</f>
        <v>1</v>
      </c>
      <c r="CE75" s="11" t="str">
        <f t="shared" ref="CE75" si="266">BIN2HEX(BX81&amp;BX80&amp;BX79&amp;BX78&amp;BX77&amp;BX76&amp;BX75)</f>
        <v>3F</v>
      </c>
      <c r="CF75" s="11" t="str">
        <f t="shared" ref="CF75" si="267">BIN2HEX(BY81&amp;BY80&amp;BY79&amp;BY78&amp;BY77&amp;BY76&amp;BY75)</f>
        <v>1</v>
      </c>
      <c r="CG75" s="11" t="str">
        <f t="shared" ref="CG75" si="268">BIN2HEX(BZ81&amp;BZ80&amp;BZ79&amp;BZ78&amp;BZ77&amp;BZ76&amp;BZ75)</f>
        <v>1</v>
      </c>
      <c r="CH75" s="11" t="str">
        <f t="shared" ref="CH75" si="269">BIN2HEX(CA81&amp;CA80&amp;CA79&amp;CA78&amp;CA77&amp;CA76&amp;CA75)</f>
        <v>0</v>
      </c>
    </row>
    <row r="76" spans="1:86" ht="15" customHeight="1" x14ac:dyDescent="0.25">
      <c r="A76" s="12"/>
      <c r="B76" s="12"/>
      <c r="C76" s="12"/>
      <c r="D76" s="12"/>
      <c r="E76" s="12"/>
      <c r="F76" s="12"/>
      <c r="G76" s="12"/>
      <c r="H76" s="34"/>
      <c r="I76" s="35"/>
      <c r="J76" s="35"/>
      <c r="K76" s="35"/>
      <c r="L76" s="35"/>
      <c r="M76" s="35"/>
      <c r="N76" s="35"/>
      <c r="O76" s="12"/>
      <c r="P76" s="12"/>
      <c r="Q76" s="12"/>
      <c r="R76" s="12"/>
      <c r="S76" s="12"/>
      <c r="T76" s="12"/>
      <c r="U76" s="12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G76" s="12">
        <v>0</v>
      </c>
      <c r="BH76" s="12">
        <v>1</v>
      </c>
      <c r="BI76" s="12">
        <v>0</v>
      </c>
      <c r="BJ76" s="12">
        <v>0</v>
      </c>
      <c r="BK76" s="12">
        <v>1</v>
      </c>
      <c r="BL76" s="12">
        <v>0</v>
      </c>
      <c r="BM76" s="12">
        <v>0</v>
      </c>
      <c r="BN76" s="34" t="str">
        <f>"0x"&amp;BN75&amp;", 0x"&amp;BO75&amp;", 0x"&amp;BP75&amp;", 0x"&amp;BQ75&amp;", 0x"&amp;BR75&amp;", 0x"&amp;BS75&amp;", 0x"&amp;BT75</f>
        <v>0x0, 0x12, 0x25, 0x29, 0x12, 0x0, 0x0</v>
      </c>
      <c r="BO76" s="35"/>
      <c r="BP76" s="35"/>
      <c r="BQ76" s="35"/>
      <c r="BR76" s="35"/>
      <c r="BS76" s="35"/>
      <c r="BT76" s="35"/>
      <c r="BU76" s="12">
        <v>0</v>
      </c>
      <c r="BV76" s="12">
        <v>0</v>
      </c>
      <c r="BW76" s="12">
        <v>0</v>
      </c>
      <c r="BX76" s="12">
        <v>1</v>
      </c>
      <c r="BY76" s="12">
        <v>0</v>
      </c>
      <c r="BZ76" s="12">
        <v>0</v>
      </c>
      <c r="CA76" s="12">
        <v>0</v>
      </c>
      <c r="CB76" s="34" t="str">
        <f>"0x"&amp;CB75&amp;", 0x"&amp;CC75&amp;", 0x"&amp;CD75&amp;", 0x"&amp;CE75&amp;", 0x"&amp;CF75&amp;", 0x"&amp;CG75&amp;", 0x"&amp;CH75</f>
        <v>0x0, 0x1, 0x1, 0x3F, 0x1, 0x1, 0x0</v>
      </c>
      <c r="CC76" s="35"/>
      <c r="CD76" s="35"/>
      <c r="CE76" s="35"/>
      <c r="CF76" s="35"/>
      <c r="CG76" s="35"/>
      <c r="CH76" s="35"/>
    </row>
    <row r="77" spans="1:86" x14ac:dyDescent="0.25">
      <c r="A77" s="12"/>
      <c r="B77" s="12"/>
      <c r="C77" s="12"/>
      <c r="D77" s="12"/>
      <c r="E77" s="12"/>
      <c r="F77" s="12"/>
      <c r="G77" s="12"/>
      <c r="H77" s="34"/>
      <c r="I77" s="35"/>
      <c r="J77" s="35"/>
      <c r="K77" s="35"/>
      <c r="L77" s="35"/>
      <c r="M77" s="35"/>
      <c r="N77" s="35"/>
      <c r="O77" s="12"/>
      <c r="P77" s="12"/>
      <c r="Q77" s="12"/>
      <c r="R77" s="12"/>
      <c r="S77" s="12"/>
      <c r="T77" s="12"/>
      <c r="U77" s="12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G77" s="12">
        <v>0</v>
      </c>
      <c r="BH77" s="12">
        <v>0</v>
      </c>
      <c r="BI77" s="12">
        <v>1</v>
      </c>
      <c r="BJ77" s="12">
        <v>0</v>
      </c>
      <c r="BK77" s="12">
        <v>0</v>
      </c>
      <c r="BL77" s="12">
        <v>0</v>
      </c>
      <c r="BM77" s="12">
        <v>0</v>
      </c>
      <c r="BN77" s="34"/>
      <c r="BO77" s="35"/>
      <c r="BP77" s="35"/>
      <c r="BQ77" s="35"/>
      <c r="BR77" s="35"/>
      <c r="BS77" s="35"/>
      <c r="BT77" s="35"/>
      <c r="BU77" s="12">
        <v>0</v>
      </c>
      <c r="BV77" s="12">
        <v>0</v>
      </c>
      <c r="BW77" s="12">
        <v>0</v>
      </c>
      <c r="BX77" s="12">
        <v>1</v>
      </c>
      <c r="BY77" s="12">
        <v>0</v>
      </c>
      <c r="BZ77" s="12">
        <v>0</v>
      </c>
      <c r="CA77" s="12">
        <v>0</v>
      </c>
      <c r="CB77" s="34"/>
      <c r="CC77" s="35"/>
      <c r="CD77" s="35"/>
      <c r="CE77" s="35"/>
      <c r="CF77" s="35"/>
      <c r="CG77" s="35"/>
      <c r="CH77" s="35"/>
    </row>
    <row r="78" spans="1:86" x14ac:dyDescent="0.25"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G78" s="12">
        <v>0</v>
      </c>
      <c r="BH78" s="12">
        <v>0</v>
      </c>
      <c r="BI78" s="12">
        <v>0</v>
      </c>
      <c r="BJ78" s="12">
        <v>1</v>
      </c>
      <c r="BK78" s="12">
        <v>0</v>
      </c>
      <c r="BL78" s="12">
        <v>0</v>
      </c>
      <c r="BM78" s="12">
        <v>0</v>
      </c>
      <c r="BN78" s="48" t="s">
        <v>72</v>
      </c>
      <c r="BO78" s="49"/>
      <c r="BP78" s="49"/>
      <c r="BQ78" s="49"/>
      <c r="BR78" s="49"/>
      <c r="BS78" s="49"/>
      <c r="BT78" s="49"/>
      <c r="BU78" s="12">
        <v>0</v>
      </c>
      <c r="BV78" s="12">
        <v>0</v>
      </c>
      <c r="BW78" s="12">
        <v>0</v>
      </c>
      <c r="BX78" s="12">
        <v>1</v>
      </c>
      <c r="BY78" s="12">
        <v>0</v>
      </c>
      <c r="BZ78" s="12">
        <v>0</v>
      </c>
      <c r="CA78" s="12">
        <v>0</v>
      </c>
      <c r="CB78" s="36" t="s">
        <v>73</v>
      </c>
      <c r="CC78" s="37"/>
      <c r="CD78" s="37"/>
      <c r="CE78" s="37"/>
      <c r="CF78" s="37"/>
      <c r="CG78" s="37"/>
      <c r="CH78" s="37"/>
    </row>
    <row r="79" spans="1:86" ht="15" customHeight="1" x14ac:dyDescent="0.25"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G79" s="12">
        <v>0</v>
      </c>
      <c r="BH79" s="12">
        <v>1</v>
      </c>
      <c r="BI79" s="12">
        <v>0</v>
      </c>
      <c r="BJ79" s="12">
        <v>0</v>
      </c>
      <c r="BK79" s="12">
        <v>1</v>
      </c>
      <c r="BL79" s="12">
        <v>0</v>
      </c>
      <c r="BM79" s="12">
        <v>0</v>
      </c>
      <c r="BN79" s="30" t="str">
        <f>"{{"&amp;BN76&amp;"}"&amp;", "&amp;$H$1&amp;"},  //"&amp;BN78&amp;":"&amp;BR74&amp;":"&amp;BT74</f>
        <v>{{0x0, 0x12, 0x25, 0x29, 0x12, 0x0, 0x0}, 7},  //S:0:83</v>
      </c>
      <c r="BO79" s="35"/>
      <c r="BP79" s="35"/>
      <c r="BQ79" s="35"/>
      <c r="BR79" s="35"/>
      <c r="BS79" s="35"/>
      <c r="BT79" s="35"/>
      <c r="BU79" s="12">
        <v>0</v>
      </c>
      <c r="BV79" s="12">
        <v>0</v>
      </c>
      <c r="BW79" s="12">
        <v>0</v>
      </c>
      <c r="BX79" s="12">
        <v>1</v>
      </c>
      <c r="BY79" s="12">
        <v>0</v>
      </c>
      <c r="BZ79" s="12">
        <v>0</v>
      </c>
      <c r="CA79" s="12">
        <v>0</v>
      </c>
      <c r="CB79" s="30" t="str">
        <f>"{{"&amp;CB76&amp;"}"&amp;", "&amp;$H$1&amp;"},  //"&amp;CB78&amp;":"&amp;CF74&amp;":"&amp;CH74</f>
        <v>{{0x0, 0x1, 0x1, 0x3F, 0x1, 0x1, 0x0}, 7},  //T:0:84</v>
      </c>
      <c r="CC79" s="35"/>
      <c r="CD79" s="35"/>
      <c r="CE79" s="35"/>
      <c r="CF79" s="35"/>
      <c r="CG79" s="35"/>
      <c r="CH79" s="35"/>
    </row>
    <row r="80" spans="1:86" x14ac:dyDescent="0.25"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G80" s="12">
        <v>0</v>
      </c>
      <c r="BH80" s="12">
        <v>0</v>
      </c>
      <c r="BI80" s="12">
        <v>1</v>
      </c>
      <c r="BJ80" s="12">
        <v>1</v>
      </c>
      <c r="BK80" s="12">
        <v>0</v>
      </c>
      <c r="BL80" s="12">
        <v>0</v>
      </c>
      <c r="BM80" s="12">
        <v>0</v>
      </c>
      <c r="BN80" s="30"/>
      <c r="BO80" s="35"/>
      <c r="BP80" s="35"/>
      <c r="BQ80" s="35"/>
      <c r="BR80" s="35"/>
      <c r="BS80" s="35"/>
      <c r="BT80" s="35"/>
      <c r="BU80" s="12">
        <v>0</v>
      </c>
      <c r="BV80" s="12">
        <v>0</v>
      </c>
      <c r="BW80" s="12">
        <v>0</v>
      </c>
      <c r="BX80" s="12">
        <v>1</v>
      </c>
      <c r="BY80" s="12">
        <v>0</v>
      </c>
      <c r="BZ80" s="12">
        <v>0</v>
      </c>
      <c r="CA80" s="12">
        <v>0</v>
      </c>
      <c r="CB80" s="30"/>
      <c r="CC80" s="35"/>
      <c r="CD80" s="35"/>
      <c r="CE80" s="35"/>
      <c r="CF80" s="35"/>
      <c r="CG80" s="35"/>
      <c r="CH80" s="35"/>
    </row>
    <row r="81" spans="1:86" x14ac:dyDescent="0.25"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3"/>
      <c r="BO81" s="3"/>
      <c r="BP81" s="3"/>
      <c r="BQ81" s="3"/>
      <c r="BR81" s="3"/>
      <c r="BS81" s="3"/>
      <c r="BT81" s="3"/>
      <c r="BU81" s="13">
        <v>0</v>
      </c>
      <c r="BV81" s="13">
        <v>0</v>
      </c>
      <c r="BW81" s="12">
        <v>0</v>
      </c>
      <c r="BX81" s="13">
        <v>0</v>
      </c>
      <c r="BY81" s="13">
        <v>0</v>
      </c>
      <c r="BZ81" s="12">
        <v>0</v>
      </c>
      <c r="CA81" s="12">
        <v>0</v>
      </c>
      <c r="CB81" s="36" t="s">
        <v>48</v>
      </c>
      <c r="CC81" s="37"/>
      <c r="CD81" s="37"/>
      <c r="CE81" s="37"/>
      <c r="CF81" s="38">
        <v>209</v>
      </c>
      <c r="CG81" s="38"/>
      <c r="CH81" s="19">
        <v>130</v>
      </c>
    </row>
    <row r="82" spans="1:86" s="4" customFormat="1" x14ac:dyDescent="0.25">
      <c r="A82" s="5"/>
      <c r="B82" s="5"/>
      <c r="C82" s="5"/>
      <c r="D82" s="5"/>
      <c r="E82" s="5"/>
      <c r="F82" s="5"/>
      <c r="G82" s="5"/>
      <c r="O82" s="5"/>
      <c r="P82" s="5"/>
      <c r="Q82" s="5"/>
      <c r="R82" s="5"/>
      <c r="S82" s="5"/>
      <c r="T82" s="5"/>
      <c r="U82" s="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20"/>
      <c r="BF82" s="20"/>
      <c r="BG82" s="9">
        <v>1</v>
      </c>
      <c r="BH82" s="9">
        <v>2</v>
      </c>
      <c r="BI82" s="9">
        <v>3</v>
      </c>
      <c r="BJ82" s="9">
        <v>4</v>
      </c>
      <c r="BK82" s="9">
        <v>5</v>
      </c>
      <c r="BL82" s="9">
        <v>6</v>
      </c>
      <c r="BM82" s="9">
        <v>7</v>
      </c>
      <c r="BN82" s="39" t="s">
        <v>0</v>
      </c>
      <c r="BO82" s="39"/>
      <c r="BP82" s="39"/>
      <c r="BQ82" s="39"/>
      <c r="BR82" s="40">
        <v>0</v>
      </c>
      <c r="BS82" s="40"/>
      <c r="BT82" s="15">
        <v>85</v>
      </c>
      <c r="BU82" s="9">
        <v>1</v>
      </c>
      <c r="BV82" s="9">
        <v>2</v>
      </c>
      <c r="BW82" s="9">
        <v>3</v>
      </c>
      <c r="BX82" s="9">
        <v>4</v>
      </c>
      <c r="BY82" s="9">
        <v>5</v>
      </c>
      <c r="BZ82" s="9">
        <v>6</v>
      </c>
      <c r="CA82" s="9">
        <v>7</v>
      </c>
      <c r="CB82" s="39" t="s">
        <v>0</v>
      </c>
      <c r="CC82" s="39"/>
      <c r="CD82" s="39"/>
      <c r="CE82" s="39"/>
      <c r="CF82" s="40">
        <v>0</v>
      </c>
      <c r="CG82" s="40"/>
      <c r="CH82" s="15">
        <v>86</v>
      </c>
    </row>
    <row r="83" spans="1:86" x14ac:dyDescent="0.25">
      <c r="A83" s="2"/>
      <c r="B83" s="2"/>
      <c r="C83" s="2"/>
      <c r="D83" s="2"/>
      <c r="E83" s="2"/>
      <c r="F83" s="2"/>
      <c r="G83" s="2"/>
      <c r="O83" s="2"/>
      <c r="P83" s="2"/>
      <c r="Q83" s="2"/>
      <c r="R83" s="2"/>
      <c r="S83" s="2"/>
      <c r="T83" s="2"/>
      <c r="U83" s="2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G83" s="10">
        <v>0</v>
      </c>
      <c r="BH83" s="10">
        <v>1</v>
      </c>
      <c r="BI83" s="10">
        <v>0</v>
      </c>
      <c r="BJ83" s="10">
        <v>0</v>
      </c>
      <c r="BK83" s="10">
        <v>1</v>
      </c>
      <c r="BL83" s="10">
        <v>0</v>
      </c>
      <c r="BM83" s="10">
        <v>0</v>
      </c>
      <c r="BN83" s="11" t="str">
        <f>BIN2HEX(BG89&amp;BG88&amp;BG87&amp;BG86&amp;BG85&amp;BG84&amp;BG83)</f>
        <v>0</v>
      </c>
      <c r="BO83" s="11" t="str">
        <f>BIN2HEX(BH89&amp;BH88&amp;BH87&amp;BH86&amp;BH85&amp;BH84&amp;BH83)</f>
        <v>1F</v>
      </c>
      <c r="BP83" s="11" t="str">
        <f t="shared" ref="BP83" si="270">BIN2HEX(BI89&amp;BI88&amp;BI87&amp;BI86&amp;BI85&amp;BI84&amp;BI83)</f>
        <v>20</v>
      </c>
      <c r="BQ83" s="11" t="str">
        <f t="shared" ref="BQ83" si="271">BIN2HEX(BJ89&amp;BJ88&amp;BJ87&amp;BJ86&amp;BJ85&amp;BJ84&amp;BJ83)</f>
        <v>20</v>
      </c>
      <c r="BR83" s="11" t="str">
        <f t="shared" ref="BR83" si="272">BIN2HEX(BK89&amp;BK88&amp;BK87&amp;BK86&amp;BK85&amp;BK84&amp;BK83)</f>
        <v>1F</v>
      </c>
      <c r="BS83" s="11" t="str">
        <f t="shared" ref="BS83" si="273">BIN2HEX(BL89&amp;BL88&amp;BL87&amp;BL86&amp;BL85&amp;BL84&amp;BL83)</f>
        <v>0</v>
      </c>
      <c r="BT83" s="11" t="str">
        <f t="shared" ref="BT83" si="274">BIN2HEX(BM89&amp;BM88&amp;BM87&amp;BM86&amp;BM85&amp;BM84&amp;BM83)</f>
        <v>0</v>
      </c>
      <c r="BU83" s="10">
        <v>0</v>
      </c>
      <c r="BV83" s="10">
        <v>1</v>
      </c>
      <c r="BW83" s="10">
        <v>0</v>
      </c>
      <c r="BX83" s="10">
        <v>0</v>
      </c>
      <c r="BY83" s="10">
        <v>0</v>
      </c>
      <c r="BZ83" s="10">
        <v>1</v>
      </c>
      <c r="CA83" s="10">
        <v>0</v>
      </c>
      <c r="CB83" s="11" t="str">
        <f>BIN2HEX(BU89&amp;BU88&amp;BU87&amp;BU86&amp;BU85&amp;BU84&amp;BU83)</f>
        <v>0</v>
      </c>
      <c r="CC83" s="11" t="str">
        <f>BIN2HEX(BV89&amp;BV88&amp;BV87&amp;BV86&amp;BV85&amp;BV84&amp;BV83)</f>
        <v>7</v>
      </c>
      <c r="CD83" s="11" t="str">
        <f t="shared" ref="CD83" si="275">BIN2HEX(BW89&amp;BW88&amp;BW87&amp;BW86&amp;BW85&amp;BW84&amp;BW83)</f>
        <v>8</v>
      </c>
      <c r="CE83" s="11" t="str">
        <f t="shared" ref="CE83" si="276">BIN2HEX(BX89&amp;BX88&amp;BX87&amp;BX86&amp;BX85&amp;BX84&amp;BX83)</f>
        <v>30</v>
      </c>
      <c r="CF83" s="11" t="str">
        <f t="shared" ref="CF83" si="277">BIN2HEX(BY89&amp;BY88&amp;BY87&amp;BY86&amp;BY85&amp;BY84&amp;BY83)</f>
        <v>8</v>
      </c>
      <c r="CG83" s="11" t="str">
        <f t="shared" ref="CG83" si="278">BIN2HEX(BZ89&amp;BZ88&amp;BZ87&amp;BZ86&amp;BZ85&amp;BZ84&amp;BZ83)</f>
        <v>7</v>
      </c>
      <c r="CH83" s="11" t="str">
        <f t="shared" ref="CH83" si="279">BIN2HEX(CA89&amp;CA88&amp;CA87&amp;CA86&amp;CA85&amp;CA84&amp;CA83)</f>
        <v>0</v>
      </c>
    </row>
    <row r="84" spans="1:86" ht="15" customHeight="1" x14ac:dyDescent="0.25">
      <c r="H84" s="46"/>
      <c r="I84" s="47"/>
      <c r="J84" s="47"/>
      <c r="K84" s="47"/>
      <c r="L84" s="47"/>
      <c r="M84" s="47"/>
      <c r="N84" s="47"/>
      <c r="V84" s="46"/>
      <c r="W84" s="47"/>
      <c r="X84" s="47"/>
      <c r="Y84" s="47"/>
      <c r="Z84" s="47"/>
      <c r="AA84" s="47"/>
      <c r="AB84" s="47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G84" s="12">
        <v>0</v>
      </c>
      <c r="BH84" s="12">
        <v>1</v>
      </c>
      <c r="BI84" s="12">
        <v>0</v>
      </c>
      <c r="BJ84" s="12">
        <v>0</v>
      </c>
      <c r="BK84" s="12">
        <v>1</v>
      </c>
      <c r="BL84" s="12">
        <v>0</v>
      </c>
      <c r="BM84" s="12">
        <v>0</v>
      </c>
      <c r="BN84" s="34" t="str">
        <f>"0x"&amp;BN83&amp;", 0x"&amp;BO83&amp;", 0x"&amp;BP83&amp;", 0x"&amp;BQ83&amp;", 0x"&amp;BR83&amp;", 0x"&amp;BS83&amp;", 0x"&amp;BT83</f>
        <v>0x0, 0x1F, 0x20, 0x20, 0x1F, 0x0, 0x0</v>
      </c>
      <c r="BO84" s="35"/>
      <c r="BP84" s="35"/>
      <c r="BQ84" s="35"/>
      <c r="BR84" s="35"/>
      <c r="BS84" s="35"/>
      <c r="BT84" s="35"/>
      <c r="BU84" s="12">
        <v>0</v>
      </c>
      <c r="BV84" s="12">
        <v>1</v>
      </c>
      <c r="BW84" s="12">
        <v>0</v>
      </c>
      <c r="BX84" s="12">
        <v>0</v>
      </c>
      <c r="BY84" s="12">
        <v>0</v>
      </c>
      <c r="BZ84" s="12">
        <v>1</v>
      </c>
      <c r="CA84" s="12">
        <v>0</v>
      </c>
      <c r="CB84" s="34" t="str">
        <f>"0x"&amp;CB83&amp;", 0x"&amp;CC83&amp;", 0x"&amp;CD83&amp;", 0x"&amp;CE83&amp;", 0x"&amp;CF83&amp;", 0x"&amp;CG83&amp;", 0x"&amp;CH83</f>
        <v>0x0, 0x7, 0x8, 0x30, 0x8, 0x7, 0x0</v>
      </c>
      <c r="CC84" s="35"/>
      <c r="CD84" s="35"/>
      <c r="CE84" s="35"/>
      <c r="CF84" s="35"/>
      <c r="CG84" s="35"/>
      <c r="CH84" s="35"/>
    </row>
    <row r="85" spans="1:86" x14ac:dyDescent="0.25">
      <c r="H85" s="46"/>
      <c r="I85" s="47"/>
      <c r="J85" s="47"/>
      <c r="K85" s="47"/>
      <c r="L85" s="47"/>
      <c r="M85" s="47"/>
      <c r="N85" s="47"/>
      <c r="V85" s="46"/>
      <c r="W85" s="47"/>
      <c r="X85" s="47"/>
      <c r="Y85" s="47"/>
      <c r="Z85" s="47"/>
      <c r="AA85" s="47"/>
      <c r="AB85" s="47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G85" s="12">
        <v>0</v>
      </c>
      <c r="BH85" s="12">
        <v>1</v>
      </c>
      <c r="BI85" s="12">
        <v>0</v>
      </c>
      <c r="BJ85" s="12">
        <v>0</v>
      </c>
      <c r="BK85" s="12">
        <v>1</v>
      </c>
      <c r="BL85" s="12">
        <v>0</v>
      </c>
      <c r="BM85" s="12">
        <v>0</v>
      </c>
      <c r="BN85" s="34"/>
      <c r="BO85" s="35"/>
      <c r="BP85" s="35"/>
      <c r="BQ85" s="35"/>
      <c r="BR85" s="35"/>
      <c r="BS85" s="35"/>
      <c r="BT85" s="35"/>
      <c r="BU85" s="12">
        <v>0</v>
      </c>
      <c r="BV85" s="12">
        <v>1</v>
      </c>
      <c r="BW85" s="12">
        <v>0</v>
      </c>
      <c r="BX85" s="12">
        <v>0</v>
      </c>
      <c r="BY85" s="12">
        <v>0</v>
      </c>
      <c r="BZ85" s="12">
        <v>1</v>
      </c>
      <c r="CA85" s="12">
        <v>0</v>
      </c>
      <c r="CB85" s="34"/>
      <c r="CC85" s="35"/>
      <c r="CD85" s="35"/>
      <c r="CE85" s="35"/>
      <c r="CF85" s="35"/>
      <c r="CG85" s="35"/>
      <c r="CH85" s="35"/>
    </row>
    <row r="86" spans="1:86" x14ac:dyDescent="0.25"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G86" s="12">
        <v>0</v>
      </c>
      <c r="BH86" s="12">
        <v>1</v>
      </c>
      <c r="BI86" s="12">
        <v>0</v>
      </c>
      <c r="BJ86" s="12">
        <v>0</v>
      </c>
      <c r="BK86" s="12">
        <v>1</v>
      </c>
      <c r="BL86" s="12">
        <v>0</v>
      </c>
      <c r="BM86" s="12">
        <v>0</v>
      </c>
      <c r="BN86" s="36" t="s">
        <v>74</v>
      </c>
      <c r="BO86" s="37"/>
      <c r="BP86" s="37"/>
      <c r="BQ86" s="37"/>
      <c r="BR86" s="37"/>
      <c r="BS86" s="37"/>
      <c r="BT86" s="37"/>
      <c r="BU86" s="12">
        <v>0</v>
      </c>
      <c r="BV86" s="12">
        <v>0</v>
      </c>
      <c r="BW86" s="12">
        <v>1</v>
      </c>
      <c r="BX86" s="12">
        <v>0</v>
      </c>
      <c r="BY86" s="12">
        <v>1</v>
      </c>
      <c r="BZ86" s="12">
        <v>0</v>
      </c>
      <c r="CA86" s="12">
        <v>0</v>
      </c>
      <c r="CB86" s="36" t="s">
        <v>75</v>
      </c>
      <c r="CC86" s="37"/>
      <c r="CD86" s="37"/>
      <c r="CE86" s="37"/>
      <c r="CF86" s="37"/>
      <c r="CG86" s="37"/>
      <c r="CH86" s="37"/>
    </row>
    <row r="87" spans="1:86" ht="15" customHeight="1" x14ac:dyDescent="0.25"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G87" s="12">
        <v>0</v>
      </c>
      <c r="BH87" s="12">
        <v>1</v>
      </c>
      <c r="BI87" s="12">
        <v>0</v>
      </c>
      <c r="BJ87" s="12">
        <v>0</v>
      </c>
      <c r="BK87" s="12">
        <v>1</v>
      </c>
      <c r="BL87" s="12">
        <v>0</v>
      </c>
      <c r="BM87" s="12">
        <v>0</v>
      </c>
      <c r="BN87" s="30" t="str">
        <f>"{{"&amp;BN84&amp;"}"&amp;", "&amp;$H$1&amp;"},  //"&amp;BN86&amp;":"&amp;BR82&amp;":"&amp;BT82</f>
        <v>{{0x0, 0x1F, 0x20, 0x20, 0x1F, 0x0, 0x0}, 7},  //U:0:85</v>
      </c>
      <c r="BO87" s="35"/>
      <c r="BP87" s="35"/>
      <c r="BQ87" s="35"/>
      <c r="BR87" s="35"/>
      <c r="BS87" s="35"/>
      <c r="BT87" s="35"/>
      <c r="BU87" s="12">
        <v>0</v>
      </c>
      <c r="BV87" s="12">
        <v>0</v>
      </c>
      <c r="BW87" s="12">
        <v>0</v>
      </c>
      <c r="BX87" s="12">
        <v>1</v>
      </c>
      <c r="BY87" s="12">
        <v>0</v>
      </c>
      <c r="BZ87" s="12">
        <v>0</v>
      </c>
      <c r="CA87" s="12">
        <v>0</v>
      </c>
      <c r="CB87" s="30" t="str">
        <f>"{{"&amp;CB84&amp;"}"&amp;", "&amp;$H$1&amp;"},  //"&amp;CB86&amp;":"&amp;CF82&amp;":"&amp;CH82</f>
        <v>{{0x0, 0x7, 0x8, 0x30, 0x8, 0x7, 0x0}, 7},  //V:0:86</v>
      </c>
      <c r="CC87" s="35"/>
      <c r="CD87" s="35"/>
      <c r="CE87" s="35"/>
      <c r="CF87" s="35"/>
      <c r="CG87" s="35"/>
      <c r="CH87" s="35"/>
    </row>
    <row r="88" spans="1:86" x14ac:dyDescent="0.25"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G88" s="12">
        <v>0</v>
      </c>
      <c r="BH88" s="12">
        <v>0</v>
      </c>
      <c r="BI88" s="12">
        <v>1</v>
      </c>
      <c r="BJ88" s="12">
        <v>1</v>
      </c>
      <c r="BK88" s="12">
        <v>0</v>
      </c>
      <c r="BL88" s="12">
        <v>0</v>
      </c>
      <c r="BM88" s="12">
        <v>0</v>
      </c>
      <c r="BN88" s="30"/>
      <c r="BO88" s="35"/>
      <c r="BP88" s="35"/>
      <c r="BQ88" s="35"/>
      <c r="BR88" s="35"/>
      <c r="BS88" s="35"/>
      <c r="BT88" s="35"/>
      <c r="BU88" s="12">
        <v>0</v>
      </c>
      <c r="BV88" s="12">
        <v>0</v>
      </c>
      <c r="BW88" s="12">
        <v>0</v>
      </c>
      <c r="BX88" s="12">
        <v>1</v>
      </c>
      <c r="BY88" s="12">
        <v>0</v>
      </c>
      <c r="BZ88" s="12">
        <v>0</v>
      </c>
      <c r="CA88" s="12">
        <v>0</v>
      </c>
      <c r="CB88" s="30"/>
      <c r="CC88" s="35"/>
      <c r="CD88" s="35"/>
      <c r="CE88" s="35"/>
      <c r="CF88" s="35"/>
      <c r="CG88" s="35"/>
      <c r="CH88" s="35"/>
    </row>
    <row r="89" spans="1:86" x14ac:dyDescent="0.25"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G89" s="13">
        <v>0</v>
      </c>
      <c r="BH89" s="13">
        <v>0</v>
      </c>
      <c r="BI89" s="13">
        <v>0</v>
      </c>
      <c r="BJ89" s="13">
        <v>0</v>
      </c>
      <c r="BK89" s="13">
        <v>0</v>
      </c>
      <c r="BL89" s="13">
        <v>0</v>
      </c>
      <c r="BM89" s="13">
        <v>0</v>
      </c>
      <c r="BN89" s="36" t="s">
        <v>48</v>
      </c>
      <c r="BO89" s="37"/>
      <c r="BP89" s="37"/>
      <c r="BQ89" s="37"/>
      <c r="BR89" s="38"/>
      <c r="BS89" s="38"/>
      <c r="BT89" s="19"/>
      <c r="BU89" s="13">
        <v>0</v>
      </c>
      <c r="BV89" s="13">
        <v>0</v>
      </c>
      <c r="BW89" s="13">
        <v>0</v>
      </c>
      <c r="BX89" s="13">
        <v>0</v>
      </c>
      <c r="BY89" s="13">
        <v>0</v>
      </c>
      <c r="BZ89" s="13">
        <v>0</v>
      </c>
      <c r="CA89" s="13">
        <v>0</v>
      </c>
      <c r="CB89" s="36" t="s">
        <v>48</v>
      </c>
      <c r="CC89" s="37"/>
      <c r="CD89" s="37"/>
      <c r="CE89" s="37"/>
      <c r="CF89" s="38"/>
      <c r="CG89" s="38"/>
      <c r="CH89" s="19"/>
    </row>
    <row r="90" spans="1:86" s="4" customFormat="1" x14ac:dyDescent="0.25">
      <c r="A90" s="5"/>
      <c r="B90" s="5"/>
      <c r="C90" s="5"/>
      <c r="D90" s="5"/>
      <c r="E90" s="5"/>
      <c r="F90" s="5"/>
      <c r="G90" s="5"/>
      <c r="O90" s="5"/>
      <c r="P90" s="5"/>
      <c r="Q90" s="5"/>
      <c r="R90" s="5"/>
      <c r="S90" s="5"/>
      <c r="T90" s="5"/>
      <c r="U90" s="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20"/>
      <c r="BF90" s="20"/>
      <c r="BG90" s="9">
        <v>1</v>
      </c>
      <c r="BH90" s="9">
        <v>2</v>
      </c>
      <c r="BI90" s="9">
        <v>3</v>
      </c>
      <c r="BJ90" s="9">
        <v>4</v>
      </c>
      <c r="BK90" s="9">
        <v>5</v>
      </c>
      <c r="BL90" s="9">
        <v>6</v>
      </c>
      <c r="BM90" s="9">
        <v>7</v>
      </c>
      <c r="BN90" s="39" t="s">
        <v>0</v>
      </c>
      <c r="BO90" s="39"/>
      <c r="BP90" s="39"/>
      <c r="BQ90" s="39"/>
      <c r="BR90" s="40">
        <v>0</v>
      </c>
      <c r="BS90" s="40"/>
      <c r="BT90" s="15">
        <v>87</v>
      </c>
      <c r="BU90" s="9">
        <v>1</v>
      </c>
      <c r="BV90" s="9">
        <v>2</v>
      </c>
      <c r="BW90" s="9">
        <v>3</v>
      </c>
      <c r="BX90" s="9">
        <v>4</v>
      </c>
      <c r="BY90" s="9">
        <v>5</v>
      </c>
      <c r="BZ90" s="9">
        <v>6</v>
      </c>
      <c r="CA90" s="9">
        <v>7</v>
      </c>
      <c r="CB90" s="39" t="s">
        <v>0</v>
      </c>
      <c r="CC90" s="39"/>
      <c r="CD90" s="39"/>
      <c r="CE90" s="39"/>
      <c r="CF90" s="40">
        <v>0</v>
      </c>
      <c r="CG90" s="40"/>
      <c r="CH90" s="15">
        <v>88</v>
      </c>
    </row>
    <row r="91" spans="1:86" x14ac:dyDescent="0.25">
      <c r="A91" s="2"/>
      <c r="B91" s="2"/>
      <c r="C91" s="2"/>
      <c r="D91" s="2"/>
      <c r="E91" s="2"/>
      <c r="F91" s="2"/>
      <c r="G91" s="2"/>
      <c r="O91" s="2"/>
      <c r="P91" s="2"/>
      <c r="Q91" s="2"/>
      <c r="R91" s="2"/>
      <c r="S91" s="2"/>
      <c r="T91" s="2"/>
      <c r="U91" s="2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G91" s="10">
        <v>0</v>
      </c>
      <c r="BH91" s="10">
        <v>1</v>
      </c>
      <c r="BI91" s="10">
        <v>0</v>
      </c>
      <c r="BJ91" s="10">
        <v>0</v>
      </c>
      <c r="BK91" s="10">
        <v>0</v>
      </c>
      <c r="BL91" s="10">
        <v>1</v>
      </c>
      <c r="BM91" s="10">
        <v>0</v>
      </c>
      <c r="BN91" s="11" t="str">
        <f>BIN2HEX(BG97&amp;BG96&amp;BG95&amp;BG94&amp;BG93&amp;BG92&amp;BG91)</f>
        <v>0</v>
      </c>
      <c r="BO91" s="11" t="str">
        <f>BIN2HEX(BH97&amp;BH96&amp;BH95&amp;BH94&amp;BH93&amp;BH92&amp;BH91)</f>
        <v>3F</v>
      </c>
      <c r="BP91" s="11" t="str">
        <f t="shared" ref="BP91" si="280">BIN2HEX(BI97&amp;BI96&amp;BI95&amp;BI94&amp;BI93&amp;BI92&amp;BI91)</f>
        <v>10</v>
      </c>
      <c r="BQ91" s="11" t="str">
        <f t="shared" ref="BQ91" si="281">BIN2HEX(BJ97&amp;BJ96&amp;BJ95&amp;BJ94&amp;BJ93&amp;BJ92&amp;BJ91)</f>
        <v>C</v>
      </c>
      <c r="BR91" s="11" t="str">
        <f t="shared" ref="BR91" si="282">BIN2HEX(BK97&amp;BK96&amp;BK95&amp;BK94&amp;BK93&amp;BK92&amp;BK91)</f>
        <v>10</v>
      </c>
      <c r="BS91" s="11" t="str">
        <f t="shared" ref="BS91" si="283">BIN2HEX(BL97&amp;BL96&amp;BL95&amp;BL94&amp;BL93&amp;BL92&amp;BL91)</f>
        <v>3F</v>
      </c>
      <c r="BT91" s="11" t="str">
        <f t="shared" ref="BT91" si="284">BIN2HEX(BM97&amp;BM96&amp;BM95&amp;BM94&amp;BM93&amp;BM92&amp;BM91)</f>
        <v>0</v>
      </c>
      <c r="BU91" s="10">
        <v>0</v>
      </c>
      <c r="BV91" s="10">
        <v>1</v>
      </c>
      <c r="BW91" s="10">
        <v>0</v>
      </c>
      <c r="BX91" s="10">
        <v>0</v>
      </c>
      <c r="BY91" s="10">
        <v>0</v>
      </c>
      <c r="BZ91" s="10">
        <v>1</v>
      </c>
      <c r="CA91" s="10">
        <v>0</v>
      </c>
      <c r="CB91" s="11" t="str">
        <f>BIN2HEX(BU97&amp;BU96&amp;BU95&amp;BU94&amp;BU93&amp;BU92&amp;BU91)</f>
        <v>0</v>
      </c>
      <c r="CC91" s="11" t="str">
        <f>BIN2HEX(BV97&amp;BV96&amp;BV95&amp;BV94&amp;BV93&amp;BV92&amp;BV91)</f>
        <v>31</v>
      </c>
      <c r="CD91" s="11" t="str">
        <f t="shared" ref="CD91" si="285">BIN2HEX(BW97&amp;BW96&amp;BW95&amp;BW94&amp;BW93&amp;BW92&amp;BW91)</f>
        <v>A</v>
      </c>
      <c r="CE91" s="11" t="str">
        <f t="shared" ref="CE91" si="286">BIN2HEX(BX97&amp;BX96&amp;BX95&amp;BX94&amp;BX93&amp;BX92&amp;BX91)</f>
        <v>4</v>
      </c>
      <c r="CF91" s="11" t="str">
        <f t="shared" ref="CF91" si="287">BIN2HEX(BY97&amp;BY96&amp;BY95&amp;BY94&amp;BY93&amp;BY92&amp;BY91)</f>
        <v>A</v>
      </c>
      <c r="CG91" s="11" t="str">
        <f t="shared" ref="CG91" si="288">BIN2HEX(BZ97&amp;BZ96&amp;BZ95&amp;BZ94&amp;BZ93&amp;BZ92&amp;BZ91)</f>
        <v>31</v>
      </c>
      <c r="CH91" s="11" t="str">
        <f t="shared" ref="CH91" si="289">BIN2HEX(CA97&amp;CA96&amp;CA95&amp;CA94&amp;CA93&amp;CA92&amp;CA91)</f>
        <v>0</v>
      </c>
    </row>
    <row r="92" spans="1:86" ht="15" customHeight="1" x14ac:dyDescent="0.25">
      <c r="H92" s="46"/>
      <c r="I92" s="47"/>
      <c r="J92" s="47"/>
      <c r="K92" s="47"/>
      <c r="L92" s="47"/>
      <c r="M92" s="47"/>
      <c r="N92" s="47"/>
      <c r="V92" s="46"/>
      <c r="W92" s="47"/>
      <c r="X92" s="47"/>
      <c r="Y92" s="47"/>
      <c r="Z92" s="47"/>
      <c r="AA92" s="47"/>
      <c r="AB92" s="47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G92" s="12">
        <v>0</v>
      </c>
      <c r="BH92" s="12">
        <v>1</v>
      </c>
      <c r="BI92" s="12">
        <v>0</v>
      </c>
      <c r="BJ92" s="12">
        <v>0</v>
      </c>
      <c r="BK92" s="12">
        <v>0</v>
      </c>
      <c r="BL92" s="12">
        <v>1</v>
      </c>
      <c r="BM92" s="12">
        <v>0</v>
      </c>
      <c r="BN92" s="34" t="str">
        <f>"0x"&amp;BN91&amp;", 0x"&amp;BO91&amp;", 0x"&amp;BP91&amp;", 0x"&amp;BQ91&amp;", 0x"&amp;BR91&amp;", 0x"&amp;BS91&amp;", 0x"&amp;BT91</f>
        <v>0x0, 0x3F, 0x10, 0xC, 0x10, 0x3F, 0x0</v>
      </c>
      <c r="BO92" s="35"/>
      <c r="BP92" s="35"/>
      <c r="BQ92" s="35"/>
      <c r="BR92" s="35"/>
      <c r="BS92" s="35"/>
      <c r="BT92" s="35"/>
      <c r="BU92" s="12">
        <v>0</v>
      </c>
      <c r="BV92" s="12">
        <v>0</v>
      </c>
      <c r="BW92" s="12">
        <v>1</v>
      </c>
      <c r="BX92" s="12">
        <v>0</v>
      </c>
      <c r="BY92" s="12">
        <v>1</v>
      </c>
      <c r="BZ92" s="12">
        <v>0</v>
      </c>
      <c r="CA92" s="12">
        <v>0</v>
      </c>
      <c r="CB92" s="34" t="str">
        <f>"0x"&amp;CB91&amp;", 0x"&amp;CC91&amp;", 0x"&amp;CD91&amp;", 0x"&amp;CE91&amp;", 0x"&amp;CF91&amp;", 0x"&amp;CG91&amp;", 0x"&amp;CH91</f>
        <v>0x0, 0x31, 0xA, 0x4, 0xA, 0x31, 0x0</v>
      </c>
      <c r="CC92" s="35"/>
      <c r="CD92" s="35"/>
      <c r="CE92" s="35"/>
      <c r="CF92" s="35"/>
      <c r="CG92" s="35"/>
      <c r="CH92" s="35"/>
    </row>
    <row r="93" spans="1:86" x14ac:dyDescent="0.25">
      <c r="H93" s="46"/>
      <c r="I93" s="47"/>
      <c r="J93" s="47"/>
      <c r="K93" s="47"/>
      <c r="L93" s="47"/>
      <c r="M93" s="47"/>
      <c r="N93" s="47"/>
      <c r="V93" s="46"/>
      <c r="W93" s="47"/>
      <c r="X93" s="47"/>
      <c r="Y93" s="47"/>
      <c r="Z93" s="47"/>
      <c r="AA93" s="47"/>
      <c r="AB93" s="47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G93" s="12">
        <v>0</v>
      </c>
      <c r="BH93" s="12">
        <v>1</v>
      </c>
      <c r="BI93" s="12">
        <v>0</v>
      </c>
      <c r="BJ93" s="12">
        <v>1</v>
      </c>
      <c r="BK93" s="12">
        <v>0</v>
      </c>
      <c r="BL93" s="12">
        <v>1</v>
      </c>
      <c r="BM93" s="12">
        <v>0</v>
      </c>
      <c r="BN93" s="34"/>
      <c r="BO93" s="35"/>
      <c r="BP93" s="35"/>
      <c r="BQ93" s="35"/>
      <c r="BR93" s="35"/>
      <c r="BS93" s="35"/>
      <c r="BT93" s="35"/>
      <c r="BU93" s="12">
        <v>0</v>
      </c>
      <c r="BV93" s="12">
        <v>0</v>
      </c>
      <c r="BW93" s="12">
        <v>0</v>
      </c>
      <c r="BX93" s="12">
        <v>1</v>
      </c>
      <c r="BY93" s="12">
        <v>0</v>
      </c>
      <c r="BZ93" s="12">
        <v>0</v>
      </c>
      <c r="CA93" s="12">
        <v>0</v>
      </c>
      <c r="CB93" s="34"/>
      <c r="CC93" s="35"/>
      <c r="CD93" s="35"/>
      <c r="CE93" s="35"/>
      <c r="CF93" s="35"/>
      <c r="CG93" s="35"/>
      <c r="CH93" s="35"/>
    </row>
    <row r="94" spans="1:86" x14ac:dyDescent="0.25"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G94" s="12">
        <v>0</v>
      </c>
      <c r="BH94" s="12">
        <v>1</v>
      </c>
      <c r="BI94" s="12">
        <v>0</v>
      </c>
      <c r="BJ94" s="12">
        <v>1</v>
      </c>
      <c r="BK94" s="12">
        <v>0</v>
      </c>
      <c r="BL94" s="12">
        <v>1</v>
      </c>
      <c r="BM94" s="12">
        <v>0</v>
      </c>
      <c r="BN94" s="36" t="s">
        <v>76</v>
      </c>
      <c r="BO94" s="37"/>
      <c r="BP94" s="37"/>
      <c r="BQ94" s="37"/>
      <c r="BR94" s="37"/>
      <c r="BS94" s="37"/>
      <c r="BT94" s="37"/>
      <c r="BU94" s="12">
        <v>0</v>
      </c>
      <c r="BV94" s="12">
        <v>0</v>
      </c>
      <c r="BW94" s="12">
        <v>1</v>
      </c>
      <c r="BX94" s="12">
        <v>0</v>
      </c>
      <c r="BY94" s="12">
        <v>1</v>
      </c>
      <c r="BZ94" s="12">
        <v>0</v>
      </c>
      <c r="CA94" s="12">
        <v>0</v>
      </c>
      <c r="CB94" s="36" t="s">
        <v>77</v>
      </c>
      <c r="CC94" s="37"/>
      <c r="CD94" s="37"/>
      <c r="CE94" s="37"/>
      <c r="CF94" s="37"/>
      <c r="CG94" s="37"/>
      <c r="CH94" s="37"/>
    </row>
    <row r="95" spans="1:86" ht="15" customHeight="1" x14ac:dyDescent="0.25"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G95" s="12">
        <v>0</v>
      </c>
      <c r="BH95" s="12">
        <v>1</v>
      </c>
      <c r="BI95" s="12">
        <v>1</v>
      </c>
      <c r="BJ95" s="12">
        <v>0</v>
      </c>
      <c r="BK95" s="12">
        <v>1</v>
      </c>
      <c r="BL95" s="12">
        <v>1</v>
      </c>
      <c r="BM95" s="12">
        <v>0</v>
      </c>
      <c r="BN95" s="30" t="str">
        <f>"{{"&amp;BN92&amp;"}"&amp;", "&amp;$H$1&amp;"},  //"&amp;BN94&amp;":"&amp;BR90&amp;":"&amp;BT90</f>
        <v>{{0x0, 0x3F, 0x10, 0xC, 0x10, 0x3F, 0x0}, 7},  //W:0:87</v>
      </c>
      <c r="BO95" s="35"/>
      <c r="BP95" s="35"/>
      <c r="BQ95" s="35"/>
      <c r="BR95" s="35"/>
      <c r="BS95" s="35"/>
      <c r="BT95" s="35"/>
      <c r="BU95" s="12">
        <v>0</v>
      </c>
      <c r="BV95" s="12">
        <v>1</v>
      </c>
      <c r="BW95" s="12">
        <v>0</v>
      </c>
      <c r="BX95" s="12">
        <v>0</v>
      </c>
      <c r="BY95" s="12">
        <v>0</v>
      </c>
      <c r="BZ95" s="12">
        <v>1</v>
      </c>
      <c r="CA95" s="12">
        <v>0</v>
      </c>
      <c r="CB95" s="30" t="str">
        <f>"{{"&amp;CB92&amp;"}"&amp;", "&amp;$H$1&amp;"},  //"&amp;CB94&amp;":"&amp;CF90&amp;":"&amp;CH90</f>
        <v>{{0x0, 0x31, 0xA, 0x4, 0xA, 0x31, 0x0}, 7},  //X:0:88</v>
      </c>
      <c r="CC95" s="35"/>
      <c r="CD95" s="35"/>
      <c r="CE95" s="35"/>
      <c r="CF95" s="35"/>
      <c r="CG95" s="35"/>
      <c r="CH95" s="35"/>
    </row>
    <row r="96" spans="1:86" x14ac:dyDescent="0.25"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G96" s="12">
        <v>0</v>
      </c>
      <c r="BH96" s="12">
        <v>1</v>
      </c>
      <c r="BI96" s="12">
        <v>0</v>
      </c>
      <c r="BJ96" s="12">
        <v>0</v>
      </c>
      <c r="BK96" s="12">
        <v>0</v>
      </c>
      <c r="BL96" s="12">
        <v>1</v>
      </c>
      <c r="BM96" s="12">
        <v>0</v>
      </c>
      <c r="BN96" s="30"/>
      <c r="BO96" s="35"/>
      <c r="BP96" s="35"/>
      <c r="BQ96" s="35"/>
      <c r="BR96" s="35"/>
      <c r="BS96" s="35"/>
      <c r="BT96" s="35"/>
      <c r="BU96" s="12">
        <v>0</v>
      </c>
      <c r="BV96" s="12">
        <v>1</v>
      </c>
      <c r="BW96" s="12">
        <v>0</v>
      </c>
      <c r="BX96" s="12">
        <v>0</v>
      </c>
      <c r="BY96" s="12">
        <v>0</v>
      </c>
      <c r="BZ96" s="12">
        <v>1</v>
      </c>
      <c r="CA96" s="12">
        <v>0</v>
      </c>
      <c r="CB96" s="30"/>
      <c r="CC96" s="35"/>
      <c r="CD96" s="35"/>
      <c r="CE96" s="35"/>
      <c r="CF96" s="35"/>
      <c r="CG96" s="35"/>
      <c r="CH96" s="35"/>
    </row>
    <row r="97" spans="1:86" x14ac:dyDescent="0.25"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G97" s="13">
        <v>0</v>
      </c>
      <c r="BH97" s="13">
        <v>0</v>
      </c>
      <c r="BI97" s="13">
        <v>0</v>
      </c>
      <c r="BJ97" s="13">
        <v>0</v>
      </c>
      <c r="BK97" s="13">
        <v>0</v>
      </c>
      <c r="BL97" s="13">
        <v>0</v>
      </c>
      <c r="BM97" s="13">
        <v>0</v>
      </c>
      <c r="BN97" s="36" t="s">
        <v>48</v>
      </c>
      <c r="BO97" s="37"/>
      <c r="BP97" s="37"/>
      <c r="BQ97" s="37"/>
      <c r="BR97" s="38"/>
      <c r="BS97" s="38"/>
      <c r="BT97" s="19"/>
      <c r="BU97" s="13">
        <v>0</v>
      </c>
      <c r="BV97" s="13">
        <v>0</v>
      </c>
      <c r="BW97" s="13">
        <v>0</v>
      </c>
      <c r="BX97" s="13">
        <v>0</v>
      </c>
      <c r="BY97" s="13">
        <v>0</v>
      </c>
      <c r="BZ97" s="13">
        <v>0</v>
      </c>
      <c r="CA97" s="13">
        <v>0</v>
      </c>
      <c r="CB97" s="36" t="s">
        <v>48</v>
      </c>
      <c r="CC97" s="37"/>
      <c r="CD97" s="37"/>
      <c r="CE97" s="37"/>
      <c r="CF97" s="38"/>
      <c r="CG97" s="38"/>
      <c r="CH97" s="19"/>
    </row>
    <row r="98" spans="1:86" s="4" customFormat="1" x14ac:dyDescent="0.25">
      <c r="A98" s="5">
        <v>1</v>
      </c>
      <c r="B98" s="5">
        <v>2</v>
      </c>
      <c r="C98" s="5">
        <v>3</v>
      </c>
      <c r="D98" s="5">
        <v>4</v>
      </c>
      <c r="E98" s="5">
        <v>5</v>
      </c>
      <c r="F98" s="5">
        <v>6</v>
      </c>
      <c r="G98" s="5">
        <v>7</v>
      </c>
      <c r="H98" s="44" t="s">
        <v>0</v>
      </c>
      <c r="I98" s="44"/>
      <c r="J98" s="44"/>
      <c r="K98" s="44"/>
      <c r="L98" s="45">
        <v>0</v>
      </c>
      <c r="M98" s="45"/>
      <c r="N98" s="16">
        <v>32</v>
      </c>
      <c r="O98" s="5">
        <v>1</v>
      </c>
      <c r="P98" s="5">
        <v>2</v>
      </c>
      <c r="Q98" s="5">
        <v>3</v>
      </c>
      <c r="R98" s="5">
        <v>4</v>
      </c>
      <c r="S98" s="5">
        <v>5</v>
      </c>
      <c r="T98" s="5">
        <v>6</v>
      </c>
      <c r="U98" s="5">
        <v>7</v>
      </c>
      <c r="V98" s="44" t="s">
        <v>0</v>
      </c>
      <c r="W98" s="44"/>
      <c r="X98" s="44"/>
      <c r="Y98" s="44"/>
      <c r="Z98" s="45">
        <v>0</v>
      </c>
      <c r="AA98" s="45"/>
      <c r="AB98" s="16">
        <v>33</v>
      </c>
      <c r="AC98" s="6">
        <v>1</v>
      </c>
      <c r="AD98" s="6">
        <v>2</v>
      </c>
      <c r="AE98" s="6">
        <v>3</v>
      </c>
      <c r="AF98" s="6">
        <v>4</v>
      </c>
      <c r="AG98" s="6">
        <v>5</v>
      </c>
      <c r="AH98" s="6">
        <v>6</v>
      </c>
      <c r="AI98" s="6">
        <v>7</v>
      </c>
      <c r="AJ98" s="44" t="s">
        <v>0</v>
      </c>
      <c r="AK98" s="44"/>
      <c r="AL98" s="44"/>
      <c r="AM98" s="44"/>
      <c r="AN98" s="45">
        <v>0</v>
      </c>
      <c r="AO98" s="45"/>
      <c r="AP98" s="16">
        <v>34</v>
      </c>
      <c r="AQ98" s="6">
        <v>1</v>
      </c>
      <c r="AR98" s="6">
        <v>2</v>
      </c>
      <c r="AS98" s="6">
        <v>3</v>
      </c>
      <c r="AT98" s="6">
        <v>4</v>
      </c>
      <c r="AU98" s="6">
        <v>5</v>
      </c>
      <c r="AV98" s="6">
        <v>6</v>
      </c>
      <c r="AW98" s="6">
        <v>7</v>
      </c>
      <c r="AX98" s="44" t="s">
        <v>0</v>
      </c>
      <c r="AY98" s="44"/>
      <c r="AZ98" s="44"/>
      <c r="BA98" s="44"/>
      <c r="BB98" s="45">
        <v>0</v>
      </c>
      <c r="BC98" s="45"/>
      <c r="BD98" s="16">
        <v>35</v>
      </c>
      <c r="BE98" s="20"/>
      <c r="BF98" s="20"/>
      <c r="BG98" s="9">
        <v>1</v>
      </c>
      <c r="BH98" s="9">
        <v>2</v>
      </c>
      <c r="BI98" s="9">
        <v>3</v>
      </c>
      <c r="BJ98" s="9">
        <v>4</v>
      </c>
      <c r="BK98" s="9">
        <v>5</v>
      </c>
      <c r="BL98" s="9">
        <v>6</v>
      </c>
      <c r="BM98" s="9">
        <v>7</v>
      </c>
      <c r="BN98" s="39" t="s">
        <v>0</v>
      </c>
      <c r="BO98" s="39"/>
      <c r="BP98" s="39"/>
      <c r="BQ98" s="39"/>
      <c r="BR98" s="40">
        <v>0</v>
      </c>
      <c r="BS98" s="40"/>
      <c r="BT98" s="15">
        <v>89</v>
      </c>
      <c r="BU98" s="9">
        <v>1</v>
      </c>
      <c r="BV98" s="9">
        <v>2</v>
      </c>
      <c r="BW98" s="9">
        <v>3</v>
      </c>
      <c r="BX98" s="9">
        <v>4</v>
      </c>
      <c r="BY98" s="9">
        <v>5</v>
      </c>
      <c r="BZ98" s="9">
        <v>6</v>
      </c>
      <c r="CA98" s="9">
        <v>7</v>
      </c>
      <c r="CB98" s="39" t="s">
        <v>0</v>
      </c>
      <c r="CC98" s="39"/>
      <c r="CD98" s="39"/>
      <c r="CE98" s="39"/>
      <c r="CF98" s="40">
        <v>0</v>
      </c>
      <c r="CG98" s="40"/>
      <c r="CH98" s="15">
        <v>90</v>
      </c>
    </row>
    <row r="99" spans="1:86" x14ac:dyDescent="0.25">
      <c r="A99" s="2">
        <v>0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11" t="str">
        <f>BIN2HEX(A105&amp;A104&amp;A103&amp;A102&amp;A101&amp;A100&amp;A99)</f>
        <v>0</v>
      </c>
      <c r="I99" s="11" t="str">
        <f>BIN2HEX(B105&amp;B104&amp;B103&amp;B102&amp;B101&amp;B100&amp;B99)</f>
        <v>0</v>
      </c>
      <c r="J99" s="11" t="str">
        <f t="shared" ref="J99" si="290">BIN2HEX(C105&amp;C104&amp;C103&amp;C102&amp;C101&amp;C100&amp;C99)</f>
        <v>0</v>
      </c>
      <c r="K99" s="11" t="str">
        <f t="shared" ref="K99" si="291">BIN2HEX(D105&amp;D104&amp;D103&amp;D102&amp;D101&amp;D100&amp;D99)</f>
        <v>0</v>
      </c>
      <c r="L99" s="11" t="str">
        <f t="shared" ref="L99" si="292">BIN2HEX(E105&amp;E104&amp;E103&amp;E102&amp;E101&amp;E100&amp;E99)</f>
        <v>0</v>
      </c>
      <c r="M99" s="11" t="str">
        <f t="shared" ref="M99" si="293">BIN2HEX(F105&amp;F104&amp;F103&amp;F102&amp;F101&amp;F100&amp;F99)</f>
        <v>0</v>
      </c>
      <c r="N99" s="11" t="str">
        <f t="shared" ref="N99" si="294">BIN2HEX(G105&amp;G104&amp;G103&amp;G102&amp;G101&amp;G100&amp;G99)</f>
        <v>0</v>
      </c>
      <c r="O99" s="2">
        <v>0</v>
      </c>
      <c r="P99" s="2">
        <v>0</v>
      </c>
      <c r="Q99" s="2">
        <v>0</v>
      </c>
      <c r="R99" s="2">
        <v>1</v>
      </c>
      <c r="S99" s="2">
        <v>0</v>
      </c>
      <c r="T99" s="2">
        <v>0</v>
      </c>
      <c r="U99" s="2">
        <v>0</v>
      </c>
      <c r="V99" s="11" t="str">
        <f>BIN2HEX(O105&amp;O104&amp;O103&amp;O102&amp;O101&amp;O100&amp;O99)</f>
        <v>0</v>
      </c>
      <c r="W99" s="11" t="str">
        <f>BIN2HEX(P105&amp;P104&amp;P103&amp;P102&amp;P101&amp;P100&amp;P99)</f>
        <v>0</v>
      </c>
      <c r="X99" s="11" t="str">
        <f t="shared" ref="X99" si="295">BIN2HEX(Q105&amp;Q104&amp;Q103&amp;Q102&amp;Q101&amp;Q100&amp;Q99)</f>
        <v>0</v>
      </c>
      <c r="Y99" s="11" t="str">
        <f t="shared" ref="Y99" si="296">BIN2HEX(R105&amp;R104&amp;R103&amp;R102&amp;R101&amp;R100&amp;R99)</f>
        <v>2F</v>
      </c>
      <c r="Z99" s="11" t="str">
        <f t="shared" ref="Z99" si="297">BIN2HEX(S105&amp;S104&amp;S103&amp;S102&amp;S101&amp;S100&amp;S99)</f>
        <v>0</v>
      </c>
      <c r="AA99" s="11" t="str">
        <f t="shared" ref="AA99" si="298">BIN2HEX(T105&amp;T104&amp;T103&amp;T102&amp;T101&amp;T100&amp;T99)</f>
        <v>0</v>
      </c>
      <c r="AB99" s="11" t="str">
        <f t="shared" ref="AB99" si="299">BIN2HEX(U105&amp;U104&amp;U103&amp;U102&amp;U101&amp;U100&amp;U99)</f>
        <v>0</v>
      </c>
      <c r="AC99" s="2">
        <v>0</v>
      </c>
      <c r="AD99" s="2">
        <v>0</v>
      </c>
      <c r="AE99" s="2">
        <v>1</v>
      </c>
      <c r="AF99" s="2">
        <v>0</v>
      </c>
      <c r="AG99" s="2">
        <v>1</v>
      </c>
      <c r="AH99" s="2">
        <v>0</v>
      </c>
      <c r="AI99" s="2">
        <v>0</v>
      </c>
      <c r="AJ99" s="11" t="str">
        <f>BIN2HEX(AC105&amp;AC104&amp;AC103&amp;AC102&amp;AC101&amp;AC100&amp;AC99)</f>
        <v>0</v>
      </c>
      <c r="AK99" s="11" t="str">
        <f>BIN2HEX(AD105&amp;AD104&amp;AD103&amp;AD102&amp;AD101&amp;AD100&amp;AD99)</f>
        <v>0</v>
      </c>
      <c r="AL99" s="11" t="str">
        <f t="shared" ref="AL99" si="300">BIN2HEX(AE105&amp;AE104&amp;AE103&amp;AE102&amp;AE101&amp;AE100&amp;AE99)</f>
        <v>3</v>
      </c>
      <c r="AM99" s="11" t="str">
        <f t="shared" ref="AM99" si="301">BIN2HEX(AF105&amp;AF104&amp;AF103&amp;AF102&amp;AF101&amp;AF100&amp;AF99)</f>
        <v>0</v>
      </c>
      <c r="AN99" s="11" t="str">
        <f t="shared" ref="AN99" si="302">BIN2HEX(AG105&amp;AG104&amp;AG103&amp;AG102&amp;AG101&amp;AG100&amp;AG99)</f>
        <v>3</v>
      </c>
      <c r="AO99" s="11" t="str">
        <f t="shared" ref="AO99" si="303">BIN2HEX(AH105&amp;AH104&amp;AH103&amp;AH102&amp;AH101&amp;AH100&amp;AH99)</f>
        <v>0</v>
      </c>
      <c r="AP99" s="11" t="str">
        <f t="shared" ref="AP99" si="304">BIN2HEX(AI105&amp;AI104&amp;AI103&amp;AI102&amp;AI101&amp;AI100&amp;AI99)</f>
        <v>0</v>
      </c>
      <c r="AQ99" s="2">
        <v>0</v>
      </c>
      <c r="AR99" s="2">
        <v>0</v>
      </c>
      <c r="AS99" s="2">
        <v>1</v>
      </c>
      <c r="AT99" s="2">
        <v>0</v>
      </c>
      <c r="AU99" s="2">
        <v>1</v>
      </c>
      <c r="AV99" s="2">
        <v>0</v>
      </c>
      <c r="AW99" s="2">
        <v>0</v>
      </c>
      <c r="AX99" s="11" t="str">
        <f>BIN2HEX(AQ105&amp;AQ104&amp;AQ103&amp;AQ102&amp;AQ101&amp;AQ100&amp;AQ99)</f>
        <v>0</v>
      </c>
      <c r="AY99" s="11" t="str">
        <f>BIN2HEX(AR105&amp;AR104&amp;AR103&amp;AR102&amp;AR101&amp;AR100&amp;AR99)</f>
        <v>A</v>
      </c>
      <c r="AZ99" s="11" t="str">
        <f t="shared" ref="AZ99" si="305">BIN2HEX(AS105&amp;AS104&amp;AS103&amp;AS102&amp;AS101&amp;AS100&amp;AS99)</f>
        <v>3F</v>
      </c>
      <c r="BA99" s="11" t="str">
        <f t="shared" ref="BA99" si="306">BIN2HEX(AT105&amp;AT104&amp;AT103&amp;AT102&amp;AT101&amp;AT100&amp;AT99)</f>
        <v>A</v>
      </c>
      <c r="BB99" s="11" t="str">
        <f t="shared" ref="BB99" si="307">BIN2HEX(AU105&amp;AU104&amp;AU103&amp;AU102&amp;AU101&amp;AU100&amp;AU99)</f>
        <v>3F</v>
      </c>
      <c r="BC99" s="11" t="str">
        <f t="shared" ref="BC99" si="308">BIN2HEX(AV105&amp;AV104&amp;AV103&amp;AV102&amp;AV101&amp;AV100&amp;AV99)</f>
        <v>A</v>
      </c>
      <c r="BD99" s="11" t="str">
        <f t="shared" ref="BD99" si="309">BIN2HEX(AW105&amp;AW104&amp;AW103&amp;AW102&amp;AW101&amp;AW100&amp;AW99)</f>
        <v>0</v>
      </c>
      <c r="BG99" s="10">
        <v>0</v>
      </c>
      <c r="BH99" s="10">
        <v>1</v>
      </c>
      <c r="BI99" s="10">
        <v>0</v>
      </c>
      <c r="BJ99" s="10">
        <v>0</v>
      </c>
      <c r="BK99" s="10">
        <v>0</v>
      </c>
      <c r="BL99" s="10">
        <v>1</v>
      </c>
      <c r="BM99" s="10">
        <v>0</v>
      </c>
      <c r="BN99" s="11" t="str">
        <f>BIN2HEX(BG105&amp;BG104&amp;BG103&amp;BG102&amp;BG101&amp;BG100&amp;BG99)</f>
        <v>0</v>
      </c>
      <c r="BO99" s="11" t="str">
        <f>BIN2HEX(BH105&amp;BH104&amp;BH103&amp;BH102&amp;BH101&amp;BH100&amp;BH99)</f>
        <v>3</v>
      </c>
      <c r="BP99" s="11" t="str">
        <f t="shared" ref="BP99" si="310">BIN2HEX(BI105&amp;BI104&amp;BI103&amp;BI102&amp;BI101&amp;BI100&amp;BI99)</f>
        <v>4</v>
      </c>
      <c r="BQ99" s="11" t="str">
        <f t="shared" ref="BQ99" si="311">BIN2HEX(BJ105&amp;BJ104&amp;BJ103&amp;BJ102&amp;BJ101&amp;BJ100&amp;BJ99)</f>
        <v>38</v>
      </c>
      <c r="BR99" s="11" t="str">
        <f t="shared" ref="BR99" si="312">BIN2HEX(BK105&amp;BK104&amp;BK103&amp;BK102&amp;BK101&amp;BK100&amp;BK99)</f>
        <v>4</v>
      </c>
      <c r="BS99" s="11" t="str">
        <f t="shared" ref="BS99" si="313">BIN2HEX(BL105&amp;BL104&amp;BL103&amp;BL102&amp;BL101&amp;BL100&amp;BL99)</f>
        <v>3</v>
      </c>
      <c r="BT99" s="11" t="str">
        <f t="shared" ref="BT99" si="314">BIN2HEX(BM105&amp;BM104&amp;BM103&amp;BM102&amp;BM101&amp;BM100&amp;BM99)</f>
        <v>0</v>
      </c>
      <c r="BU99" s="10">
        <v>0</v>
      </c>
      <c r="BV99" s="10">
        <v>1</v>
      </c>
      <c r="BW99" s="10">
        <v>1</v>
      </c>
      <c r="BX99" s="10">
        <v>1</v>
      </c>
      <c r="BY99" s="10">
        <v>1</v>
      </c>
      <c r="BZ99" s="10">
        <v>0</v>
      </c>
      <c r="CA99" s="10">
        <v>0</v>
      </c>
      <c r="CB99" s="11" t="str">
        <f>BIN2HEX(BU105&amp;BU104&amp;BU103&amp;BU102&amp;BU101&amp;BU100&amp;BU99)</f>
        <v>0</v>
      </c>
      <c r="CC99" s="11" t="str">
        <f>BIN2HEX(BV105&amp;BV104&amp;BV103&amp;BV102&amp;BV101&amp;BV100&amp;BV99)</f>
        <v>31</v>
      </c>
      <c r="CD99" s="11" t="str">
        <f t="shared" ref="CD99" si="315">BIN2HEX(BW105&amp;BW104&amp;BW103&amp;BW102&amp;BW101&amp;BW100&amp;BW99)</f>
        <v>29</v>
      </c>
      <c r="CE99" s="11" t="str">
        <f t="shared" ref="CE99" si="316">BIN2HEX(BX105&amp;BX104&amp;BX103&amp;BX102&amp;BX101&amp;BX100&amp;BX99)</f>
        <v>25</v>
      </c>
      <c r="CF99" s="11" t="str">
        <f t="shared" ref="CF99" si="317">BIN2HEX(BY105&amp;BY104&amp;BY103&amp;BY102&amp;BY101&amp;BY100&amp;BY99)</f>
        <v>23</v>
      </c>
      <c r="CG99" s="11" t="str">
        <f t="shared" ref="CG99" si="318">BIN2HEX(BZ105&amp;BZ104&amp;BZ103&amp;BZ102&amp;BZ101&amp;BZ100&amp;BZ99)</f>
        <v>0</v>
      </c>
      <c r="CH99" s="11" t="str">
        <f t="shared" ref="CH99" si="319">BIN2HEX(CA105&amp;CA104&amp;CA103&amp;CA102&amp;CA101&amp;CA100&amp;CA99)</f>
        <v>0</v>
      </c>
    </row>
    <row r="100" spans="1:86" ht="15" customHeight="1" x14ac:dyDescent="0.25">
      <c r="A100" s="2">
        <v>0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34" t="str">
        <f>"0x"&amp;H99&amp;", 0x"&amp;I99&amp;", 0x"&amp;J99&amp;", 0x"&amp;K99&amp;", 0x"&amp;L99&amp;", 0x"&amp;M99&amp;", 0x"&amp;N99</f>
        <v>0x0, 0x0, 0x0, 0x0, 0x0, 0x0, 0x0</v>
      </c>
      <c r="I100" s="35"/>
      <c r="J100" s="35"/>
      <c r="K100" s="35"/>
      <c r="L100" s="35"/>
      <c r="M100" s="35"/>
      <c r="N100" s="35"/>
      <c r="O100" s="4">
        <v>0</v>
      </c>
      <c r="P100" s="2">
        <v>0</v>
      </c>
      <c r="Q100" s="2">
        <v>0</v>
      </c>
      <c r="R100" s="4">
        <v>1</v>
      </c>
      <c r="S100" s="2">
        <v>0</v>
      </c>
      <c r="T100" s="2">
        <v>0</v>
      </c>
      <c r="U100" s="2">
        <v>0</v>
      </c>
      <c r="V100" s="34" t="str">
        <f>"0x"&amp;V99&amp;", 0x"&amp;W99&amp;", 0x"&amp;X99&amp;", 0x"&amp;Y99&amp;", 0x"&amp;Z99&amp;", 0x"&amp;AA99&amp;", 0x"&amp;AB99</f>
        <v>0x0, 0x0, 0x0, 0x2F, 0x0, 0x0, 0x0</v>
      </c>
      <c r="W100" s="35"/>
      <c r="X100" s="35"/>
      <c r="Y100" s="35"/>
      <c r="Z100" s="35"/>
      <c r="AA100" s="35"/>
      <c r="AB100" s="35"/>
      <c r="AC100" s="4">
        <v>0</v>
      </c>
      <c r="AD100" s="2">
        <v>0</v>
      </c>
      <c r="AE100" s="4">
        <v>1</v>
      </c>
      <c r="AF100" s="2">
        <v>0</v>
      </c>
      <c r="AG100" s="4">
        <v>1</v>
      </c>
      <c r="AH100" s="2">
        <v>0</v>
      </c>
      <c r="AI100" s="2">
        <v>0</v>
      </c>
      <c r="AJ100" s="34" t="str">
        <f>"0x"&amp;AJ99&amp;", 0x"&amp;AK99&amp;", 0x"&amp;AL99&amp;", 0x"&amp;AM99&amp;", 0x"&amp;AN99&amp;", 0x"&amp;AO99&amp;", 0x"&amp;AP99</f>
        <v>0x0, 0x0, 0x3, 0x0, 0x3, 0x0, 0x0</v>
      </c>
      <c r="AK100" s="35"/>
      <c r="AL100" s="35"/>
      <c r="AM100" s="35"/>
      <c r="AN100" s="35"/>
      <c r="AO100" s="35"/>
      <c r="AP100" s="35"/>
      <c r="AQ100" s="2">
        <v>0</v>
      </c>
      <c r="AR100" s="2">
        <v>1</v>
      </c>
      <c r="AS100" s="2">
        <v>1</v>
      </c>
      <c r="AT100" s="2">
        <v>1</v>
      </c>
      <c r="AU100" s="2">
        <v>1</v>
      </c>
      <c r="AV100" s="2">
        <v>1</v>
      </c>
      <c r="AW100" s="2">
        <v>0</v>
      </c>
      <c r="AX100" s="34" t="str">
        <f>"0x"&amp;AX99&amp;", 0x"&amp;AY99&amp;", 0x"&amp;AZ99&amp;", 0x"&amp;BA99&amp;", 0x"&amp;BB99&amp;", 0x"&amp;BC99&amp;", 0x"&amp;BD99</f>
        <v>0x0, 0xA, 0x3F, 0xA, 0x3F, 0xA, 0x0</v>
      </c>
      <c r="AY100" s="35"/>
      <c r="AZ100" s="35"/>
      <c r="BA100" s="35"/>
      <c r="BB100" s="35"/>
      <c r="BC100" s="35"/>
      <c r="BD100" s="35"/>
      <c r="BG100" s="12">
        <v>0</v>
      </c>
      <c r="BH100" s="12">
        <v>1</v>
      </c>
      <c r="BI100" s="12">
        <v>0</v>
      </c>
      <c r="BJ100" s="12">
        <v>0</v>
      </c>
      <c r="BK100" s="12">
        <v>0</v>
      </c>
      <c r="BL100" s="12">
        <v>1</v>
      </c>
      <c r="BM100" s="12">
        <v>0</v>
      </c>
      <c r="BN100" s="34" t="str">
        <f>"0x"&amp;BN99&amp;", 0x"&amp;BO99&amp;", 0x"&amp;BP99&amp;", 0x"&amp;BQ99&amp;", 0x"&amp;BR99&amp;", 0x"&amp;BS99&amp;", 0x"&amp;BT99</f>
        <v>0x0, 0x3, 0x4, 0x38, 0x4, 0x3, 0x0</v>
      </c>
      <c r="BO100" s="35"/>
      <c r="BP100" s="35"/>
      <c r="BQ100" s="35"/>
      <c r="BR100" s="35"/>
      <c r="BS100" s="35"/>
      <c r="BT100" s="35"/>
      <c r="BU100" s="12">
        <v>0</v>
      </c>
      <c r="BV100" s="12">
        <v>0</v>
      </c>
      <c r="BW100" s="12">
        <v>0</v>
      </c>
      <c r="BX100" s="12">
        <v>0</v>
      </c>
      <c r="BY100" s="12">
        <v>1</v>
      </c>
      <c r="BZ100" s="12">
        <v>0</v>
      </c>
      <c r="CA100" s="12">
        <v>0</v>
      </c>
      <c r="CB100" s="34" t="str">
        <f>"0x"&amp;CB99&amp;", 0x"&amp;CC99&amp;", 0x"&amp;CD99&amp;", 0x"&amp;CE99&amp;", 0x"&amp;CF99&amp;", 0x"&amp;CG99&amp;", 0x"&amp;CH99</f>
        <v>0x0, 0x31, 0x29, 0x25, 0x23, 0x0, 0x0</v>
      </c>
      <c r="CC100" s="35"/>
      <c r="CD100" s="35"/>
      <c r="CE100" s="35"/>
      <c r="CF100" s="35"/>
      <c r="CG100" s="35"/>
      <c r="CH100" s="35"/>
    </row>
    <row r="101" spans="1:86" x14ac:dyDescent="0.25">
      <c r="A101" s="2">
        <v>0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34"/>
      <c r="I101" s="35"/>
      <c r="J101" s="35"/>
      <c r="K101" s="35"/>
      <c r="L101" s="35"/>
      <c r="M101" s="35"/>
      <c r="N101" s="35"/>
      <c r="O101" s="4">
        <v>0</v>
      </c>
      <c r="P101" s="2">
        <v>0</v>
      </c>
      <c r="Q101" s="2">
        <v>0</v>
      </c>
      <c r="R101" s="4">
        <v>1</v>
      </c>
      <c r="S101" s="2">
        <v>0</v>
      </c>
      <c r="T101" s="2">
        <v>0</v>
      </c>
      <c r="U101" s="2">
        <v>0</v>
      </c>
      <c r="V101" s="34"/>
      <c r="W101" s="35"/>
      <c r="X101" s="35"/>
      <c r="Y101" s="35"/>
      <c r="Z101" s="35"/>
      <c r="AA101" s="35"/>
      <c r="AB101" s="35"/>
      <c r="AC101" s="4">
        <v>0</v>
      </c>
      <c r="AD101" s="2">
        <v>0</v>
      </c>
      <c r="AE101" s="4">
        <v>0</v>
      </c>
      <c r="AF101" s="2">
        <v>0</v>
      </c>
      <c r="AG101" s="4">
        <v>0</v>
      </c>
      <c r="AH101" s="2">
        <v>0</v>
      </c>
      <c r="AI101" s="2">
        <v>0</v>
      </c>
      <c r="AJ101" s="34"/>
      <c r="AK101" s="35"/>
      <c r="AL101" s="35"/>
      <c r="AM101" s="35"/>
      <c r="AN101" s="35"/>
      <c r="AO101" s="35"/>
      <c r="AP101" s="35"/>
      <c r="AQ101" s="2">
        <v>0</v>
      </c>
      <c r="AR101" s="2">
        <v>0</v>
      </c>
      <c r="AS101" s="2">
        <v>1</v>
      </c>
      <c r="AT101" s="2">
        <v>0</v>
      </c>
      <c r="AU101" s="2">
        <v>1</v>
      </c>
      <c r="AV101" s="2">
        <v>0</v>
      </c>
      <c r="AW101" s="2">
        <v>0</v>
      </c>
      <c r="AX101" s="34"/>
      <c r="AY101" s="35"/>
      <c r="AZ101" s="35"/>
      <c r="BA101" s="35"/>
      <c r="BB101" s="35"/>
      <c r="BC101" s="35"/>
      <c r="BD101" s="35"/>
      <c r="BG101" s="12">
        <v>0</v>
      </c>
      <c r="BH101" s="12">
        <v>0</v>
      </c>
      <c r="BI101" s="12">
        <v>1</v>
      </c>
      <c r="BJ101" s="12">
        <v>0</v>
      </c>
      <c r="BK101" s="12">
        <v>1</v>
      </c>
      <c r="BL101" s="12">
        <v>0</v>
      </c>
      <c r="BM101" s="12">
        <v>0</v>
      </c>
      <c r="BN101" s="34"/>
      <c r="BO101" s="35"/>
      <c r="BP101" s="35"/>
      <c r="BQ101" s="35"/>
      <c r="BR101" s="35"/>
      <c r="BS101" s="35"/>
      <c r="BT101" s="35"/>
      <c r="BU101" s="12">
        <v>0</v>
      </c>
      <c r="BV101" s="12">
        <v>0</v>
      </c>
      <c r="BW101" s="12">
        <v>0</v>
      </c>
      <c r="BX101" s="12">
        <v>1</v>
      </c>
      <c r="BY101" s="12">
        <v>0</v>
      </c>
      <c r="BZ101" s="12">
        <v>0</v>
      </c>
      <c r="CA101" s="12">
        <v>0</v>
      </c>
      <c r="CB101" s="34"/>
      <c r="CC101" s="35"/>
      <c r="CD101" s="35"/>
      <c r="CE101" s="35"/>
      <c r="CF101" s="35"/>
      <c r="CG101" s="35"/>
      <c r="CH101" s="35"/>
    </row>
    <row r="102" spans="1:86" x14ac:dyDescent="0.25">
      <c r="A102" s="2">
        <v>0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48"/>
      <c r="I102" s="49"/>
      <c r="J102" s="49"/>
      <c r="K102" s="49"/>
      <c r="L102" s="49"/>
      <c r="M102" s="49"/>
      <c r="N102" s="49"/>
      <c r="O102" s="4">
        <v>0</v>
      </c>
      <c r="P102" s="2">
        <v>0</v>
      </c>
      <c r="Q102" s="2">
        <v>0</v>
      </c>
      <c r="R102" s="4">
        <v>1</v>
      </c>
      <c r="S102" s="2">
        <v>0</v>
      </c>
      <c r="T102" s="2">
        <v>0</v>
      </c>
      <c r="U102" s="2">
        <v>0</v>
      </c>
      <c r="V102" s="48" t="s">
        <v>33</v>
      </c>
      <c r="W102" s="49"/>
      <c r="X102" s="49"/>
      <c r="Y102" s="49"/>
      <c r="Z102" s="49"/>
      <c r="AA102" s="49"/>
      <c r="AB102" s="49"/>
      <c r="AC102" s="4">
        <v>0</v>
      </c>
      <c r="AD102" s="2">
        <v>0</v>
      </c>
      <c r="AE102" s="4">
        <v>0</v>
      </c>
      <c r="AF102" s="2">
        <v>0</v>
      </c>
      <c r="AG102" s="4">
        <v>0</v>
      </c>
      <c r="AH102" s="2">
        <v>0</v>
      </c>
      <c r="AI102" s="2">
        <v>0</v>
      </c>
      <c r="AJ102" s="48" t="s">
        <v>34</v>
      </c>
      <c r="AK102" s="49"/>
      <c r="AL102" s="49"/>
      <c r="AM102" s="49"/>
      <c r="AN102" s="49"/>
      <c r="AO102" s="49"/>
      <c r="AP102" s="49"/>
      <c r="AQ102" s="2">
        <v>0</v>
      </c>
      <c r="AR102" s="2">
        <v>1</v>
      </c>
      <c r="AS102" s="2">
        <v>1</v>
      </c>
      <c r="AT102" s="2">
        <v>1</v>
      </c>
      <c r="AU102" s="2">
        <v>1</v>
      </c>
      <c r="AV102" s="2">
        <v>1</v>
      </c>
      <c r="AW102" s="2">
        <v>0</v>
      </c>
      <c r="AX102" s="48" t="s">
        <v>35</v>
      </c>
      <c r="AY102" s="49"/>
      <c r="AZ102" s="49"/>
      <c r="BA102" s="49"/>
      <c r="BB102" s="49"/>
      <c r="BC102" s="49"/>
      <c r="BD102" s="49"/>
      <c r="BG102" s="12">
        <v>0</v>
      </c>
      <c r="BH102" s="12">
        <v>0</v>
      </c>
      <c r="BI102" s="12">
        <v>0</v>
      </c>
      <c r="BJ102" s="12">
        <v>1</v>
      </c>
      <c r="BK102" s="12">
        <v>0</v>
      </c>
      <c r="BL102" s="12">
        <v>0</v>
      </c>
      <c r="BM102" s="12">
        <v>0</v>
      </c>
      <c r="BN102" s="36" t="s">
        <v>78</v>
      </c>
      <c r="BO102" s="37"/>
      <c r="BP102" s="37"/>
      <c r="BQ102" s="37"/>
      <c r="BR102" s="37"/>
      <c r="BS102" s="37"/>
      <c r="BT102" s="37"/>
      <c r="BU102" s="12">
        <v>0</v>
      </c>
      <c r="BV102" s="12">
        <v>0</v>
      </c>
      <c r="BW102" s="12">
        <v>1</v>
      </c>
      <c r="BX102" s="12">
        <v>0</v>
      </c>
      <c r="BY102" s="12">
        <v>0</v>
      </c>
      <c r="BZ102" s="12">
        <v>0</v>
      </c>
      <c r="CA102" s="12">
        <v>0</v>
      </c>
      <c r="CB102" s="36" t="s">
        <v>79</v>
      </c>
      <c r="CC102" s="37"/>
      <c r="CD102" s="37"/>
      <c r="CE102" s="37"/>
      <c r="CF102" s="37"/>
      <c r="CG102" s="37"/>
      <c r="CH102" s="37"/>
    </row>
    <row r="103" spans="1:86" ht="15" customHeight="1" x14ac:dyDescent="0.25">
      <c r="A103" s="2">
        <v>0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30" t="str">
        <f>"{{"&amp;H100&amp;"}"&amp;", "&amp;$H$1&amp;"},  //"&amp;H102&amp;":"&amp;L98&amp;":"&amp;N98</f>
        <v>{{0x0, 0x0, 0x0, 0x0, 0x0, 0x0, 0x0}, 7},  //:0:32</v>
      </c>
      <c r="I103" s="35"/>
      <c r="J103" s="35"/>
      <c r="K103" s="35"/>
      <c r="L103" s="35"/>
      <c r="M103" s="35"/>
      <c r="N103" s="35"/>
      <c r="O103" s="4">
        <v>0</v>
      </c>
      <c r="P103" s="2">
        <v>0</v>
      </c>
      <c r="Q103" s="2">
        <v>0</v>
      </c>
      <c r="R103" s="4">
        <v>0</v>
      </c>
      <c r="S103" s="2">
        <v>0</v>
      </c>
      <c r="T103" s="2">
        <v>0</v>
      </c>
      <c r="U103" s="2">
        <v>0</v>
      </c>
      <c r="V103" s="30" t="str">
        <f>"{{"&amp;V100&amp;"}"&amp;", "&amp;$H$1&amp;"},  //"&amp;V102&amp;":"&amp;Z98&amp;":"&amp;AB98</f>
        <v>{{0x0, 0x0, 0x0, 0x2F, 0x0, 0x0, 0x0}, 7},  //!:0:33</v>
      </c>
      <c r="W103" s="35"/>
      <c r="X103" s="35"/>
      <c r="Y103" s="35"/>
      <c r="Z103" s="35"/>
      <c r="AA103" s="35"/>
      <c r="AB103" s="35"/>
      <c r="AC103" s="4">
        <v>0</v>
      </c>
      <c r="AD103" s="2">
        <v>0</v>
      </c>
      <c r="AE103" s="4">
        <v>0</v>
      </c>
      <c r="AF103" s="2">
        <v>0</v>
      </c>
      <c r="AG103" s="4">
        <v>0</v>
      </c>
      <c r="AH103" s="2">
        <v>0</v>
      </c>
      <c r="AI103" s="2">
        <v>0</v>
      </c>
      <c r="AJ103" s="30" t="str">
        <f>"{{"&amp;AJ100&amp;"}"&amp;", "&amp;$H$1&amp;"},  //"&amp;AJ102&amp;":"&amp;AN98&amp;":"&amp;AP98</f>
        <v>{{0x0, 0x0, 0x3, 0x0, 0x3, 0x0, 0x0}, 7},  //":0:34</v>
      </c>
      <c r="AK103" s="35"/>
      <c r="AL103" s="35"/>
      <c r="AM103" s="35"/>
      <c r="AN103" s="35"/>
      <c r="AO103" s="35"/>
      <c r="AP103" s="35"/>
      <c r="AQ103" s="2">
        <v>0</v>
      </c>
      <c r="AR103" s="2">
        <v>0</v>
      </c>
      <c r="AS103" s="2">
        <v>1</v>
      </c>
      <c r="AT103" s="2">
        <v>0</v>
      </c>
      <c r="AU103" s="2">
        <v>1</v>
      </c>
      <c r="AV103" s="2">
        <v>0</v>
      </c>
      <c r="AW103" s="2">
        <v>0</v>
      </c>
      <c r="AX103" s="30" t="str">
        <f>"{{"&amp;AX100&amp;"}"&amp;", "&amp;$H$1&amp;"},  //"&amp;AX102&amp;":"&amp;BB98&amp;":"&amp;BD98</f>
        <v>{{0x0, 0xA, 0x3F, 0xA, 0x3F, 0xA, 0x0}, 7},  //#:0:35</v>
      </c>
      <c r="AY103" s="35"/>
      <c r="AZ103" s="35"/>
      <c r="BA103" s="35"/>
      <c r="BB103" s="35"/>
      <c r="BC103" s="35"/>
      <c r="BD103" s="35"/>
      <c r="BG103" s="12">
        <v>0</v>
      </c>
      <c r="BH103" s="12">
        <v>0</v>
      </c>
      <c r="BI103" s="12">
        <v>0</v>
      </c>
      <c r="BJ103" s="12">
        <v>1</v>
      </c>
      <c r="BK103" s="12">
        <v>0</v>
      </c>
      <c r="BL103" s="12">
        <v>0</v>
      </c>
      <c r="BM103" s="12">
        <v>0</v>
      </c>
      <c r="BN103" s="30" t="str">
        <f>"{{"&amp;BN100&amp;"}"&amp;", "&amp;$H$1&amp;"},  //"&amp;BN102&amp;":"&amp;BR98&amp;":"&amp;BT98</f>
        <v>{{0x0, 0x3, 0x4, 0x38, 0x4, 0x3, 0x0}, 7},  //Y:0:89</v>
      </c>
      <c r="BO103" s="35"/>
      <c r="BP103" s="35"/>
      <c r="BQ103" s="35"/>
      <c r="BR103" s="35"/>
      <c r="BS103" s="35"/>
      <c r="BT103" s="35"/>
      <c r="BU103" s="12">
        <v>0</v>
      </c>
      <c r="BV103" s="12">
        <v>1</v>
      </c>
      <c r="BW103" s="12">
        <v>0</v>
      </c>
      <c r="BX103" s="12">
        <v>0</v>
      </c>
      <c r="BY103" s="12">
        <v>0</v>
      </c>
      <c r="BZ103" s="12">
        <v>0</v>
      </c>
      <c r="CA103" s="12">
        <v>0</v>
      </c>
      <c r="CB103" s="30" t="str">
        <f>"{{"&amp;CB100&amp;"}"&amp;", "&amp;$H$1&amp;"},  //"&amp;CB102&amp;":"&amp;CF98&amp;":"&amp;CH98</f>
        <v>{{0x0, 0x31, 0x29, 0x25, 0x23, 0x0, 0x0}, 7},  //Z:0:90</v>
      </c>
      <c r="CC103" s="35"/>
      <c r="CD103" s="35"/>
      <c r="CE103" s="35"/>
      <c r="CF103" s="35"/>
      <c r="CG103" s="35"/>
      <c r="CH103" s="35"/>
    </row>
    <row r="104" spans="1:86" x14ac:dyDescent="0.25">
      <c r="A104" s="2">
        <v>0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30"/>
      <c r="I104" s="35"/>
      <c r="J104" s="35"/>
      <c r="K104" s="35"/>
      <c r="L104" s="35"/>
      <c r="M104" s="35"/>
      <c r="N104" s="35"/>
      <c r="O104" s="4">
        <v>0</v>
      </c>
      <c r="P104" s="2">
        <v>0</v>
      </c>
      <c r="Q104" s="2">
        <v>0</v>
      </c>
      <c r="R104" s="4">
        <v>1</v>
      </c>
      <c r="S104" s="2">
        <v>0</v>
      </c>
      <c r="T104" s="2">
        <v>0</v>
      </c>
      <c r="U104" s="2">
        <v>0</v>
      </c>
      <c r="V104" s="30"/>
      <c r="W104" s="35"/>
      <c r="X104" s="35"/>
      <c r="Y104" s="35"/>
      <c r="Z104" s="35"/>
      <c r="AA104" s="35"/>
      <c r="AB104" s="35"/>
      <c r="AC104" s="4">
        <v>0</v>
      </c>
      <c r="AD104" s="2">
        <v>0</v>
      </c>
      <c r="AE104" s="4">
        <v>0</v>
      </c>
      <c r="AF104" s="2">
        <v>0</v>
      </c>
      <c r="AG104" s="4">
        <v>0</v>
      </c>
      <c r="AH104" s="2">
        <v>0</v>
      </c>
      <c r="AI104" s="2">
        <v>0</v>
      </c>
      <c r="AJ104" s="30"/>
      <c r="AK104" s="35"/>
      <c r="AL104" s="35"/>
      <c r="AM104" s="35"/>
      <c r="AN104" s="35"/>
      <c r="AO104" s="35"/>
      <c r="AP104" s="35"/>
      <c r="AQ104" s="2">
        <v>0</v>
      </c>
      <c r="AR104" s="2">
        <v>0</v>
      </c>
      <c r="AS104" s="2">
        <v>1</v>
      </c>
      <c r="AT104" s="2">
        <v>0</v>
      </c>
      <c r="AU104" s="2">
        <v>1</v>
      </c>
      <c r="AV104" s="2">
        <v>0</v>
      </c>
      <c r="AW104" s="2">
        <v>0</v>
      </c>
      <c r="AX104" s="30"/>
      <c r="AY104" s="35"/>
      <c r="AZ104" s="35"/>
      <c r="BA104" s="35"/>
      <c r="BB104" s="35"/>
      <c r="BC104" s="35"/>
      <c r="BD104" s="35"/>
      <c r="BG104" s="12">
        <v>0</v>
      </c>
      <c r="BH104" s="12">
        <v>0</v>
      </c>
      <c r="BI104" s="12">
        <v>0</v>
      </c>
      <c r="BJ104" s="12">
        <v>1</v>
      </c>
      <c r="BK104" s="12">
        <v>0</v>
      </c>
      <c r="BL104" s="12">
        <v>0</v>
      </c>
      <c r="BM104" s="12">
        <v>0</v>
      </c>
      <c r="BN104" s="30"/>
      <c r="BO104" s="35"/>
      <c r="BP104" s="35"/>
      <c r="BQ104" s="35"/>
      <c r="BR104" s="35"/>
      <c r="BS104" s="35"/>
      <c r="BT104" s="35"/>
      <c r="BU104" s="12">
        <v>0</v>
      </c>
      <c r="BV104" s="12">
        <v>1</v>
      </c>
      <c r="BW104" s="12">
        <v>1</v>
      </c>
      <c r="BX104" s="12">
        <v>1</v>
      </c>
      <c r="BY104" s="12">
        <v>1</v>
      </c>
      <c r="BZ104" s="12">
        <v>0</v>
      </c>
      <c r="CA104" s="12">
        <v>0</v>
      </c>
      <c r="CB104" s="30"/>
      <c r="CC104" s="35"/>
      <c r="CD104" s="35"/>
      <c r="CE104" s="35"/>
      <c r="CF104" s="35"/>
      <c r="CG104" s="35"/>
      <c r="CH104" s="35"/>
    </row>
    <row r="105" spans="1:86" x14ac:dyDescent="0.25">
      <c r="A105" s="2">
        <v>0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O105" s="4">
        <v>0</v>
      </c>
      <c r="P105" s="2">
        <v>0</v>
      </c>
      <c r="Q105" s="2">
        <v>0</v>
      </c>
      <c r="R105" s="1">
        <v>0</v>
      </c>
      <c r="S105" s="1">
        <v>0</v>
      </c>
      <c r="T105" s="2">
        <v>0</v>
      </c>
      <c r="U105" s="2">
        <v>0</v>
      </c>
      <c r="AC105" s="4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3"/>
      <c r="AK105" s="3"/>
      <c r="AL105" s="3"/>
      <c r="AM105" s="3"/>
      <c r="AN105" s="3"/>
      <c r="AO105" s="3"/>
      <c r="AP105" s="3"/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3"/>
      <c r="AY105" s="3"/>
      <c r="AZ105" s="3"/>
      <c r="BA105" s="3"/>
      <c r="BB105" s="3"/>
      <c r="BC105" s="3"/>
      <c r="BD105" s="3"/>
      <c r="BG105" s="12">
        <v>0</v>
      </c>
      <c r="BH105" s="12">
        <v>0</v>
      </c>
      <c r="BI105" s="12">
        <v>0</v>
      </c>
      <c r="BJ105" s="12">
        <v>0</v>
      </c>
      <c r="BK105" s="12">
        <v>0</v>
      </c>
      <c r="BL105" s="12">
        <v>0</v>
      </c>
      <c r="BM105" s="12">
        <v>0</v>
      </c>
      <c r="BN105" s="36" t="s">
        <v>48</v>
      </c>
      <c r="BO105" s="37"/>
      <c r="BP105" s="37"/>
      <c r="BQ105" s="37"/>
      <c r="BR105" s="38"/>
      <c r="BS105" s="38"/>
      <c r="BT105" s="19"/>
      <c r="BU105" s="13">
        <v>0</v>
      </c>
      <c r="BV105" s="13">
        <v>0</v>
      </c>
      <c r="BW105" s="13">
        <v>0</v>
      </c>
      <c r="BX105" s="13">
        <v>0</v>
      </c>
      <c r="BY105" s="13">
        <v>0</v>
      </c>
      <c r="BZ105" s="13">
        <v>0</v>
      </c>
      <c r="CA105" s="12">
        <v>0</v>
      </c>
      <c r="CB105" s="36" t="s">
        <v>48</v>
      </c>
      <c r="CC105" s="37"/>
      <c r="CD105" s="37"/>
      <c r="CE105" s="37"/>
      <c r="CF105" s="38"/>
      <c r="CG105" s="38"/>
      <c r="CH105" s="19"/>
    </row>
    <row r="106" spans="1:86" s="4" customFormat="1" x14ac:dyDescent="0.25">
      <c r="A106" s="6">
        <v>1</v>
      </c>
      <c r="B106" s="6">
        <v>2</v>
      </c>
      <c r="C106" s="6">
        <v>3</v>
      </c>
      <c r="D106" s="6">
        <v>4</v>
      </c>
      <c r="E106" s="6">
        <v>5</v>
      </c>
      <c r="F106" s="6">
        <v>6</v>
      </c>
      <c r="G106" s="6">
        <v>7</v>
      </c>
      <c r="H106" s="44" t="s">
        <v>0</v>
      </c>
      <c r="I106" s="44"/>
      <c r="J106" s="44"/>
      <c r="K106" s="44"/>
      <c r="L106" s="45">
        <v>0</v>
      </c>
      <c r="M106" s="45"/>
      <c r="N106" s="16">
        <v>36</v>
      </c>
      <c r="O106" s="6">
        <v>1</v>
      </c>
      <c r="P106" s="6">
        <v>2</v>
      </c>
      <c r="Q106" s="6">
        <v>3</v>
      </c>
      <c r="R106" s="6">
        <v>4</v>
      </c>
      <c r="S106" s="6">
        <v>5</v>
      </c>
      <c r="T106" s="6">
        <v>6</v>
      </c>
      <c r="U106" s="6">
        <v>7</v>
      </c>
      <c r="V106" s="44" t="s">
        <v>0</v>
      </c>
      <c r="W106" s="44"/>
      <c r="X106" s="44"/>
      <c r="Y106" s="44"/>
      <c r="Z106" s="45">
        <v>0</v>
      </c>
      <c r="AA106" s="45"/>
      <c r="AB106" s="16">
        <v>37</v>
      </c>
      <c r="AC106" s="6">
        <v>1</v>
      </c>
      <c r="AD106" s="6">
        <v>2</v>
      </c>
      <c r="AE106" s="6">
        <v>3</v>
      </c>
      <c r="AF106" s="6">
        <v>4</v>
      </c>
      <c r="AG106" s="6">
        <v>5</v>
      </c>
      <c r="AH106" s="6">
        <v>6</v>
      </c>
      <c r="AI106" s="6">
        <v>7</v>
      </c>
      <c r="AJ106" s="44" t="s">
        <v>0</v>
      </c>
      <c r="AK106" s="44"/>
      <c r="AL106" s="44"/>
      <c r="AM106" s="44"/>
      <c r="AN106" s="45">
        <v>0</v>
      </c>
      <c r="AO106" s="45"/>
      <c r="AP106" s="16">
        <v>38</v>
      </c>
      <c r="AQ106" s="6">
        <v>1</v>
      </c>
      <c r="AR106" s="6">
        <v>2</v>
      </c>
      <c r="AS106" s="6">
        <v>3</v>
      </c>
      <c r="AT106" s="6">
        <v>4</v>
      </c>
      <c r="AU106" s="6">
        <v>5</v>
      </c>
      <c r="AV106" s="6">
        <v>6</v>
      </c>
      <c r="AW106" s="6">
        <v>7</v>
      </c>
      <c r="AX106" s="44" t="s">
        <v>0</v>
      </c>
      <c r="AY106" s="44"/>
      <c r="AZ106" s="44"/>
      <c r="BA106" s="44"/>
      <c r="BB106" s="45">
        <v>0</v>
      </c>
      <c r="BC106" s="45"/>
      <c r="BD106" s="16">
        <v>39</v>
      </c>
      <c r="BE106" s="20"/>
      <c r="BF106" s="20"/>
      <c r="BG106" s="25"/>
    </row>
    <row r="107" spans="1:86" ht="15" customHeight="1" x14ac:dyDescent="0.25">
      <c r="A107" s="2">
        <v>0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11" t="str">
        <f>BIN2HEX(A113&amp;A112&amp;A111&amp;A110&amp;A109&amp;A108&amp;A107)</f>
        <v>0</v>
      </c>
      <c r="I107" s="11" t="str">
        <f>BIN2HEX(B113&amp;B112&amp;B111&amp;B110&amp;B109&amp;B108&amp;B107)</f>
        <v>0</v>
      </c>
      <c r="J107" s="11" t="str">
        <f t="shared" ref="J107" si="320">BIN2HEX(C113&amp;C112&amp;C111&amp;C110&amp;C109&amp;C108&amp;C107)</f>
        <v>0</v>
      </c>
      <c r="K107" s="11" t="str">
        <f t="shared" ref="K107" si="321">BIN2HEX(D113&amp;D112&amp;D111&amp;D110&amp;D109&amp;D108&amp;D107)</f>
        <v>0</v>
      </c>
      <c r="L107" s="11" t="str">
        <f t="shared" ref="L107" si="322">BIN2HEX(E113&amp;E112&amp;E111&amp;E110&amp;E109&amp;E108&amp;E107)</f>
        <v>0</v>
      </c>
      <c r="M107" s="11" t="str">
        <f t="shared" ref="M107" si="323">BIN2HEX(F113&amp;F112&amp;F111&amp;F110&amp;F109&amp;F108&amp;F107)</f>
        <v>0</v>
      </c>
      <c r="N107" s="11" t="str">
        <f t="shared" ref="N107" si="324">BIN2HEX(G113&amp;G112&amp;G111&amp;G110&amp;G109&amp;G108&amp;G107)</f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11" t="str">
        <f>BIN2HEX(O113&amp;O112&amp;O111&amp;O110&amp;O109&amp;O108&amp;O107)</f>
        <v>0</v>
      </c>
      <c r="W107" s="11" t="str">
        <f>BIN2HEX(P113&amp;P112&amp;P111&amp;P110&amp;P109&amp;P108&amp;P107)</f>
        <v>0</v>
      </c>
      <c r="X107" s="11" t="str">
        <f t="shared" ref="X107" si="325">BIN2HEX(Q113&amp;Q112&amp;Q111&amp;Q110&amp;Q109&amp;Q108&amp;Q107)</f>
        <v>0</v>
      </c>
      <c r="Y107" s="11" t="str">
        <f t="shared" ref="Y107" si="326">BIN2HEX(R113&amp;R112&amp;R111&amp;R110&amp;R109&amp;R108&amp;R107)</f>
        <v>0</v>
      </c>
      <c r="Z107" s="11" t="str">
        <f t="shared" ref="Z107" si="327">BIN2HEX(S113&amp;S112&amp;S111&amp;S110&amp;S109&amp;S108&amp;S107)</f>
        <v>0</v>
      </c>
      <c r="AA107" s="11" t="str">
        <f t="shared" ref="AA107" si="328">BIN2HEX(T113&amp;T112&amp;T111&amp;T110&amp;T109&amp;T108&amp;T107)</f>
        <v>0</v>
      </c>
      <c r="AB107" s="11" t="str">
        <f t="shared" ref="AB107" si="329">BIN2HEX(U113&amp;U112&amp;U111&amp;U110&amp;U109&amp;U108&amp;U107)</f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11" t="str">
        <f>BIN2HEX(AC113&amp;AC112&amp;AC111&amp;AC110&amp;AC109&amp;AC108&amp;AC107)</f>
        <v>0</v>
      </c>
      <c r="AK107" s="11" t="str">
        <f>BIN2HEX(AD113&amp;AD112&amp;AD111&amp;AD110&amp;AD109&amp;AD108&amp;AD107)</f>
        <v>0</v>
      </c>
      <c r="AL107" s="11" t="str">
        <f t="shared" ref="AL107" si="330">BIN2HEX(AE113&amp;AE112&amp;AE111&amp;AE110&amp;AE109&amp;AE108&amp;AE107)</f>
        <v>0</v>
      </c>
      <c r="AM107" s="11" t="str">
        <f t="shared" ref="AM107" si="331">BIN2HEX(AF113&amp;AF112&amp;AF111&amp;AF110&amp;AF109&amp;AF108&amp;AF107)</f>
        <v>0</v>
      </c>
      <c r="AN107" s="11" t="str">
        <f t="shared" ref="AN107" si="332">BIN2HEX(AG113&amp;AG112&amp;AG111&amp;AG110&amp;AG109&amp;AG108&amp;AG107)</f>
        <v>0</v>
      </c>
      <c r="AO107" s="11" t="str">
        <f t="shared" ref="AO107" si="333">BIN2HEX(AH113&amp;AH112&amp;AH111&amp;AH110&amp;AH109&amp;AH108&amp;AH107)</f>
        <v>0</v>
      </c>
      <c r="AP107" s="11" t="str">
        <f t="shared" ref="AP107" si="334">BIN2HEX(AI113&amp;AI112&amp;AI111&amp;AI110&amp;AI109&amp;AI108&amp;AI107)</f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1</v>
      </c>
      <c r="AV107" s="2">
        <v>0</v>
      </c>
      <c r="AW107" s="2">
        <v>0</v>
      </c>
      <c r="AX107" s="11" t="str">
        <f>BIN2HEX(AQ113&amp;AQ112&amp;AQ111&amp;AQ110&amp;AQ109&amp;AQ108&amp;AQ107)</f>
        <v>0</v>
      </c>
      <c r="AY107" s="11" t="str">
        <f>BIN2HEX(AR113&amp;AR112&amp;AR111&amp;AR110&amp;AR109&amp;AR108&amp;AR107)</f>
        <v>0</v>
      </c>
      <c r="AZ107" s="11" t="str">
        <f t="shared" ref="AZ107" si="335">BIN2HEX(AS113&amp;AS112&amp;AS111&amp;AS110&amp;AS109&amp;AS108&amp;AS107)</f>
        <v>0</v>
      </c>
      <c r="BA107" s="11" t="str">
        <f t="shared" ref="BA107" si="336">BIN2HEX(AT113&amp;AT112&amp;AT111&amp;AT110&amp;AT109&amp;AT108&amp;AT107)</f>
        <v>0</v>
      </c>
      <c r="BB107" s="11" t="str">
        <f t="shared" ref="BB107" si="337">BIN2HEX(AU113&amp;AU112&amp;AU111&amp;AU110&amp;AU109&amp;AU108&amp;AU107)</f>
        <v>3</v>
      </c>
      <c r="BC107" s="11" t="str">
        <f t="shared" ref="BC107" si="338">BIN2HEX(AV113&amp;AV112&amp;AV111&amp;AV110&amp;AV109&amp;AV108&amp;AV107)</f>
        <v>0</v>
      </c>
      <c r="BD107" s="11" t="str">
        <f t="shared" ref="BD107" si="339">BIN2HEX(AW113&amp;AW112&amp;AW111&amp;AW110&amp;AW109&amp;AW108&amp;AW107)</f>
        <v>0</v>
      </c>
      <c r="BG107" s="29" t="str">
        <f>BN7
&amp;CHAR(10)&amp;CB7
&amp;CHAR(10)&amp;BN15
&amp;CHAR(10)&amp;CB15
&amp;CHAR(10)&amp;BN23
&amp;CHAR(10)&amp;CB23
&amp;CHAR(10)&amp;BN31
&amp;CHAR(10)&amp;CB31
&amp;CHAR(10)&amp;BN39
&amp;CHAR(10)&amp;CB39
&amp;CHAR(10)&amp;BN47
&amp;CHAR(10)&amp;CB47
&amp;CHAR(10)&amp;BN55
&amp;CHAR(10)&amp;CB55
&amp;CHAR(10)&amp;BN63
&amp;CHAR(10)&amp;CB63
&amp;CHAR(10)&amp;BN71
&amp;CHAR(10)&amp;CB71
&amp;CHAR(10)&amp;BN79
&amp;CHAR(10)&amp;CB79
&amp;CHAR(10)&amp;BN87
&amp;CHAR(10)&amp;CB87
&amp;CHAR(10)&amp;BN95
&amp;CHAR(10)&amp;CB95
&amp;CHAR(10)&amp;BN103
&amp;CHAR(10)&amp;CB103</f>
        <v>{{0x0, 0x3E, 0x9, 0x9, 0x3E, 0x0, 0x0}, 7},  //A:0:65
{{0x0, 0x3F, 0x25, 0x25, 0x1A, 0x0, 0x0}, 7},  //B:0:66
{{0x0, 0x1E, 0x21, 0x21, 0x21, 0x0, 0x0}, 7},  //C:0:67
{{0x0, 0x3F, 0x21, 0x21, 0x1E, 0x0, 0x0}, 7},  //D:0:68
{{0x0, 0x1E, 0x29, 0x29, 0x26, 0x0, 0x0}, 7},  //E:0:69
{{0x0, 0x3F, 0x5, 0x5, 0x5, 0x0, 0x0}, 7},  //F:0:70
{{0x0, 0x1E, 0x21, 0x29, 0x1A, 0x0, 0x0}, 7},  //G:0:71
{{0x0, 0x3F, 0x4, 0x4, 0x3F, 0x0, 0x0}, 7},  //H:0:72
{{0x0, 0x0, 0x3F, 0x0, 0x0, 0x0, 0x0}, 7},  //I:0:73
{{0x0, 0x10, 0x20, 0x20, 0x1F, 0x0, 0x0}, 7},  //J:0:74
{{0x0, 0x3F, 0x4, 0xA, 0x31, 0x0, 0x0}, 7},  //K:0:75
{{0x0, 0x3F, 0x20, 0x20, 0x20, 0x0, 0x0}, 7},  //L:0:76
{{0x0, 0x3F, 0x6, 0x18, 0x6, 0x3F, 0x0}, 7},  //M:0:77
{{0x0, 0x3F, 0x4, 0x8, 0x3F, 0x0, 0x0}, 7},  //N:0:78
{{0x0, 0x1E, 0x21, 0x21, 0x1E, 0x0, 0x0}, 7},  //O:0:79
{{0x0, 0x3F, 0x9, 0x9, 0x6, 0x0, 0x0}, 7},  //P:0:80
{{0x0, 0x1E, 0x21, 0x21, 0x3E, 0x20, 0x0}, 7},  //Q:0:81
{{0x0, 0x3F, 0x9, 0x19, 0x26, 0x0, 0x0}, 7},  //R:0:82
{{0x0, 0x12, 0x25, 0x29, 0x12, 0x0, 0x0}, 7},  //S:0:83
{{0x0, 0x1, 0x1, 0x3F, 0x1, 0x1, 0x0}, 7},  //T:0:84
{{0x0, 0x1F, 0x20, 0x20, 0x1F, 0x0, 0x0}, 7},  //U:0:85
{{0x0, 0x7, 0x8, 0x30, 0x8, 0x7, 0x0}, 7},  //V:0:86
{{0x0, 0x3F, 0x10, 0xC, 0x10, 0x3F, 0x0}, 7},  //W:0:87
{{0x0, 0x31, 0xA, 0x4, 0xA, 0x31, 0x0}, 7},  //X:0:88
{{0x0, 0x3, 0x4, 0x38, 0x4, 0x3, 0x0}, 7},  //Y:0:89
{{0x0, 0x31, 0x29, 0x25, 0x23, 0x0, 0x0}, 7},  //Z:0:90</v>
      </c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  <c r="BV107" s="29"/>
      <c r="BW107" s="29"/>
      <c r="BX107" s="29"/>
      <c r="BY107" s="29"/>
      <c r="BZ107" s="29"/>
      <c r="CA107" s="29"/>
      <c r="CB107" s="29"/>
      <c r="CC107" s="29"/>
      <c r="CD107" s="29"/>
      <c r="CE107" s="29"/>
      <c r="CF107" s="29"/>
      <c r="CG107" s="29"/>
      <c r="CH107" s="29"/>
    </row>
    <row r="108" spans="1:86" ht="15" customHeight="1" x14ac:dyDescent="0.25">
      <c r="A108" s="2">
        <v>0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34" t="str">
        <f>"0x"&amp;H107&amp;", 0x"&amp;I107&amp;", 0x"&amp;J107&amp;", 0x"&amp;K107&amp;", 0x"&amp;L107&amp;", 0x"&amp;M107&amp;", 0x"&amp;N107</f>
        <v>0x0, 0x0, 0x0, 0x0, 0x0, 0x0, 0x0</v>
      </c>
      <c r="I108" s="35"/>
      <c r="J108" s="35"/>
      <c r="K108" s="35"/>
      <c r="L108" s="35"/>
      <c r="M108" s="35"/>
      <c r="N108" s="35"/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34" t="str">
        <f>"0x"&amp;V107&amp;", 0x"&amp;W107&amp;", 0x"&amp;X107&amp;", 0x"&amp;Y107&amp;", 0x"&amp;Z107&amp;", 0x"&amp;AA107&amp;", 0x"&amp;AB107</f>
        <v>0x0, 0x0, 0x0, 0x0, 0x0, 0x0, 0x0</v>
      </c>
      <c r="W108" s="35"/>
      <c r="X108" s="35"/>
      <c r="Y108" s="35"/>
      <c r="Z108" s="35"/>
      <c r="AA108" s="35"/>
      <c r="AB108" s="35"/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34" t="str">
        <f>"0x"&amp;AJ107&amp;", 0x"&amp;AK107&amp;", 0x"&amp;AL107&amp;", 0x"&amp;AM107&amp;", 0x"&amp;AN107&amp;", 0x"&amp;AO107&amp;", 0x"&amp;AP107</f>
        <v>0x0, 0x0, 0x0, 0x0, 0x0, 0x0, 0x0</v>
      </c>
      <c r="AK108" s="35"/>
      <c r="AL108" s="35"/>
      <c r="AM108" s="35"/>
      <c r="AN108" s="35"/>
      <c r="AO108" s="35"/>
      <c r="AP108" s="35"/>
      <c r="AQ108" s="4">
        <v>0</v>
      </c>
      <c r="AR108" s="2">
        <v>0</v>
      </c>
      <c r="AS108" s="4">
        <v>0</v>
      </c>
      <c r="AT108" s="4">
        <v>0</v>
      </c>
      <c r="AU108" s="4">
        <v>1</v>
      </c>
      <c r="AV108" s="4">
        <v>0</v>
      </c>
      <c r="AW108" s="4">
        <v>0</v>
      </c>
      <c r="AX108" s="34" t="str">
        <f>"0x"&amp;AX107&amp;", 0x"&amp;AY107&amp;", 0x"&amp;AZ107&amp;", 0x"&amp;BA107&amp;", 0x"&amp;BB107&amp;", 0x"&amp;BC107&amp;", 0x"&amp;BD107</f>
        <v>0x0, 0x0, 0x0, 0x0, 0x3, 0x0, 0x0</v>
      </c>
      <c r="AY108" s="35"/>
      <c r="AZ108" s="35"/>
      <c r="BA108" s="35"/>
      <c r="BB108" s="35"/>
      <c r="BC108" s="35"/>
      <c r="BD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</row>
    <row r="109" spans="1:86" x14ac:dyDescent="0.25">
      <c r="A109" s="2">
        <v>0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34"/>
      <c r="I109" s="35"/>
      <c r="J109" s="35"/>
      <c r="K109" s="35"/>
      <c r="L109" s="35"/>
      <c r="M109" s="35"/>
      <c r="N109" s="35"/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34"/>
      <c r="W109" s="35"/>
      <c r="X109" s="35"/>
      <c r="Y109" s="35"/>
      <c r="Z109" s="35"/>
      <c r="AA109" s="35"/>
      <c r="AB109" s="35"/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34"/>
      <c r="AK109" s="35"/>
      <c r="AL109" s="35"/>
      <c r="AM109" s="35"/>
      <c r="AN109" s="35"/>
      <c r="AO109" s="35"/>
      <c r="AP109" s="35"/>
      <c r="AQ109" s="4">
        <v>0</v>
      </c>
      <c r="AR109" s="2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34"/>
      <c r="AY109" s="35"/>
      <c r="AZ109" s="35"/>
      <c r="BA109" s="35"/>
      <c r="BB109" s="35"/>
      <c r="BC109" s="35"/>
      <c r="BD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</row>
    <row r="110" spans="1:86" x14ac:dyDescent="0.25">
      <c r="A110" s="2">
        <v>0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48" t="s">
        <v>36</v>
      </c>
      <c r="I110" s="49"/>
      <c r="J110" s="49"/>
      <c r="K110" s="49"/>
      <c r="L110" s="49"/>
      <c r="M110" s="49"/>
      <c r="N110" s="49"/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48" t="s">
        <v>37</v>
      </c>
      <c r="W110" s="49"/>
      <c r="X110" s="49"/>
      <c r="Y110" s="49"/>
      <c r="Z110" s="49"/>
      <c r="AA110" s="49"/>
      <c r="AB110" s="49"/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48" t="s">
        <v>38</v>
      </c>
      <c r="AK110" s="49"/>
      <c r="AL110" s="49"/>
      <c r="AM110" s="49"/>
      <c r="AN110" s="49"/>
      <c r="AO110" s="49"/>
      <c r="AP110" s="49"/>
      <c r="AQ110" s="4">
        <v>0</v>
      </c>
      <c r="AR110" s="2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50" t="s">
        <v>39</v>
      </c>
      <c r="AY110" s="49"/>
      <c r="AZ110" s="49"/>
      <c r="BA110" s="49"/>
      <c r="BB110" s="49"/>
      <c r="BC110" s="49"/>
      <c r="BD110" s="49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</row>
    <row r="111" spans="1:86" ht="15" customHeight="1" x14ac:dyDescent="0.25">
      <c r="A111" s="2">
        <v>0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30" t="str">
        <f>"{{"&amp;H108&amp;"}"&amp;", "&amp;$H$1&amp;"},  //"&amp;H110&amp;":"&amp;L106&amp;":"&amp;N106</f>
        <v>{{0x0, 0x0, 0x0, 0x0, 0x0, 0x0, 0x0}, 7},  //$:0:36</v>
      </c>
      <c r="I111" s="35"/>
      <c r="J111" s="35"/>
      <c r="K111" s="35"/>
      <c r="L111" s="35"/>
      <c r="M111" s="35"/>
      <c r="N111" s="35"/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30" t="str">
        <f>"{{"&amp;V108&amp;"}"&amp;", "&amp;$H$1&amp;"},  //"&amp;V110&amp;":"&amp;Z106&amp;":"&amp;AB106</f>
        <v>{{0x0, 0x0, 0x0, 0x0, 0x0, 0x0, 0x0}, 7},  //%:0:37</v>
      </c>
      <c r="W111" s="35"/>
      <c r="X111" s="35"/>
      <c r="Y111" s="35"/>
      <c r="Z111" s="35"/>
      <c r="AA111" s="35"/>
      <c r="AB111" s="35"/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30" t="str">
        <f>"{{"&amp;AJ108&amp;"}"&amp;", "&amp;$H$1&amp;"},  //"&amp;AJ110&amp;":"&amp;AN106&amp;":"&amp;AP106</f>
        <v>{{0x0, 0x0, 0x0, 0x0, 0x0, 0x0, 0x0}, 7},  //&amp;:0:38</v>
      </c>
      <c r="AK111" s="35"/>
      <c r="AL111" s="35"/>
      <c r="AM111" s="35"/>
      <c r="AN111" s="35"/>
      <c r="AO111" s="35"/>
      <c r="AP111" s="35"/>
      <c r="AQ111" s="4">
        <v>0</v>
      </c>
      <c r="AR111" s="2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30" t="str">
        <f>"{{"&amp;AX108&amp;"}"&amp;", "&amp;$H$1&amp;"},  //"&amp;AX110&amp;":"&amp;BB106&amp;":"&amp;BD106</f>
        <v>{{0x0, 0x0, 0x0, 0x0, 0x3, 0x0, 0x0}, 7},  //`:0:39</v>
      </c>
      <c r="AY111" s="35"/>
      <c r="AZ111" s="35"/>
      <c r="BA111" s="35"/>
      <c r="BB111" s="35"/>
      <c r="BC111" s="35"/>
      <c r="BD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</row>
    <row r="112" spans="1:86" x14ac:dyDescent="0.25">
      <c r="A112" s="2">
        <v>0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30"/>
      <c r="I112" s="35"/>
      <c r="J112" s="35"/>
      <c r="K112" s="35"/>
      <c r="L112" s="35"/>
      <c r="M112" s="35"/>
      <c r="N112" s="35"/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30"/>
      <c r="W112" s="35"/>
      <c r="X112" s="35"/>
      <c r="Y112" s="35"/>
      <c r="Z112" s="35"/>
      <c r="AA112" s="35"/>
      <c r="AB112" s="35"/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30"/>
      <c r="AK112" s="35"/>
      <c r="AL112" s="35"/>
      <c r="AM112" s="35"/>
      <c r="AN112" s="35"/>
      <c r="AO112" s="35"/>
      <c r="AP112" s="35"/>
      <c r="AQ112" s="4">
        <v>0</v>
      </c>
      <c r="AR112" s="2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30"/>
      <c r="AY112" s="35"/>
      <c r="AZ112" s="35"/>
      <c r="BA112" s="35"/>
      <c r="BB112" s="35"/>
      <c r="BC112" s="35"/>
      <c r="BD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</row>
    <row r="113" spans="1:86" x14ac:dyDescent="0.25">
      <c r="A113" s="2">
        <v>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3"/>
      <c r="AK113" s="3"/>
      <c r="AL113" s="3"/>
      <c r="AM113" s="3"/>
      <c r="AN113" s="3"/>
      <c r="AO113" s="3"/>
      <c r="AP113" s="3"/>
      <c r="AQ113" s="4">
        <v>0</v>
      </c>
      <c r="AR113" s="2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3"/>
      <c r="AY113" s="3"/>
      <c r="AZ113" s="3"/>
      <c r="BA113" s="3"/>
      <c r="BB113" s="3"/>
      <c r="BC113" s="3"/>
      <c r="BD113" s="3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</row>
    <row r="114" spans="1:86" s="4" customFormat="1" x14ac:dyDescent="0.25">
      <c r="A114" s="6">
        <v>1</v>
      </c>
      <c r="B114" s="6">
        <v>2</v>
      </c>
      <c r="C114" s="6">
        <v>3</v>
      </c>
      <c r="D114" s="6">
        <v>4</v>
      </c>
      <c r="E114" s="6">
        <v>5</v>
      </c>
      <c r="F114" s="6">
        <v>6</v>
      </c>
      <c r="G114" s="6">
        <v>7</v>
      </c>
      <c r="H114" s="44" t="s">
        <v>0</v>
      </c>
      <c r="I114" s="44"/>
      <c r="J114" s="44"/>
      <c r="K114" s="44"/>
      <c r="L114" s="45">
        <v>0</v>
      </c>
      <c r="M114" s="45"/>
      <c r="N114" s="16">
        <v>40</v>
      </c>
      <c r="O114" s="6">
        <v>1</v>
      </c>
      <c r="P114" s="6">
        <v>2</v>
      </c>
      <c r="Q114" s="6">
        <v>3</v>
      </c>
      <c r="R114" s="6">
        <v>4</v>
      </c>
      <c r="S114" s="6">
        <v>5</v>
      </c>
      <c r="T114" s="6">
        <v>6</v>
      </c>
      <c r="U114" s="6">
        <v>7</v>
      </c>
      <c r="V114" s="44" t="s">
        <v>0</v>
      </c>
      <c r="W114" s="44"/>
      <c r="X114" s="44"/>
      <c r="Y114" s="44"/>
      <c r="Z114" s="45">
        <v>0</v>
      </c>
      <c r="AA114" s="45"/>
      <c r="AB114" s="16">
        <v>41</v>
      </c>
      <c r="AC114" s="6">
        <v>1</v>
      </c>
      <c r="AD114" s="6">
        <v>2</v>
      </c>
      <c r="AE114" s="6">
        <v>3</v>
      </c>
      <c r="AF114" s="6">
        <v>4</v>
      </c>
      <c r="AG114" s="6">
        <v>5</v>
      </c>
      <c r="AH114" s="6">
        <v>6</v>
      </c>
      <c r="AI114" s="6">
        <v>7</v>
      </c>
      <c r="AJ114" s="44" t="s">
        <v>0</v>
      </c>
      <c r="AK114" s="44"/>
      <c r="AL114" s="44"/>
      <c r="AM114" s="44"/>
      <c r="AN114" s="45">
        <v>0</v>
      </c>
      <c r="AO114" s="45"/>
      <c r="AP114" s="16">
        <v>42</v>
      </c>
      <c r="AQ114" s="6">
        <v>1</v>
      </c>
      <c r="AR114" s="6">
        <v>2</v>
      </c>
      <c r="AS114" s="6">
        <v>3</v>
      </c>
      <c r="AT114" s="6">
        <v>4</v>
      </c>
      <c r="AU114" s="6">
        <v>5</v>
      </c>
      <c r="AV114" s="6">
        <v>6</v>
      </c>
      <c r="AW114" s="6">
        <v>7</v>
      </c>
      <c r="AX114" s="44" t="s">
        <v>0</v>
      </c>
      <c r="AY114" s="44"/>
      <c r="AZ114" s="44"/>
      <c r="BA114" s="44"/>
      <c r="BB114" s="45">
        <v>0</v>
      </c>
      <c r="BC114" s="45"/>
      <c r="BD114" s="16">
        <v>43</v>
      </c>
      <c r="BE114" s="20"/>
      <c r="BF114" s="20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</row>
    <row r="115" spans="1:86" x14ac:dyDescent="0.25">
      <c r="A115" s="2">
        <v>0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11" t="str">
        <f>BIN2HEX(A121&amp;A120&amp;A119&amp;A118&amp;A117&amp;A116&amp;A115)</f>
        <v>0</v>
      </c>
      <c r="I115" s="11" t="str">
        <f>BIN2HEX(B121&amp;B120&amp;B119&amp;B118&amp;B117&amp;B116&amp;B115)</f>
        <v>0</v>
      </c>
      <c r="J115" s="11" t="str">
        <f t="shared" ref="J115" si="340">BIN2HEX(C121&amp;C120&amp;C119&amp;C118&amp;C117&amp;C116&amp;C115)</f>
        <v>0</v>
      </c>
      <c r="K115" s="11" t="str">
        <f t="shared" ref="K115" si="341">BIN2HEX(D121&amp;D120&amp;D119&amp;D118&amp;D117&amp;D116&amp;D115)</f>
        <v>0</v>
      </c>
      <c r="L115" s="11" t="str">
        <f t="shared" ref="L115" si="342">BIN2HEX(E121&amp;E120&amp;E119&amp;E118&amp;E117&amp;E116&amp;E115)</f>
        <v>0</v>
      </c>
      <c r="M115" s="11" t="str">
        <f t="shared" ref="M115" si="343">BIN2HEX(F121&amp;F120&amp;F119&amp;F118&amp;F117&amp;F116&amp;F115)</f>
        <v>0</v>
      </c>
      <c r="N115" s="11" t="str">
        <f t="shared" ref="N115" si="344">BIN2HEX(G121&amp;G120&amp;G119&amp;G118&amp;G117&amp;G116&amp;G115)</f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11" t="str">
        <f>BIN2HEX(O121&amp;O120&amp;O119&amp;O118&amp;O117&amp;O116&amp;O115)</f>
        <v>0</v>
      </c>
      <c r="W115" s="11" t="str">
        <f>BIN2HEX(P121&amp;P120&amp;P119&amp;P118&amp;P117&amp;P116&amp;P115)</f>
        <v>0</v>
      </c>
      <c r="X115" s="11" t="str">
        <f t="shared" ref="X115" si="345">BIN2HEX(Q121&amp;Q120&amp;Q119&amp;Q118&amp;Q117&amp;Q116&amp;Q115)</f>
        <v>0</v>
      </c>
      <c r="Y115" s="11" t="str">
        <f t="shared" ref="Y115" si="346">BIN2HEX(R121&amp;R120&amp;R119&amp;R118&amp;R117&amp;R116&amp;R115)</f>
        <v>0</v>
      </c>
      <c r="Z115" s="11" t="str">
        <f t="shared" ref="Z115" si="347">BIN2HEX(S121&amp;S120&amp;S119&amp;S118&amp;S117&amp;S116&amp;S115)</f>
        <v>0</v>
      </c>
      <c r="AA115" s="11" t="str">
        <f t="shared" ref="AA115" si="348">BIN2HEX(T121&amp;T120&amp;T119&amp;T118&amp;T117&amp;T116&amp;T115)</f>
        <v>0</v>
      </c>
      <c r="AB115" s="11" t="str">
        <f t="shared" ref="AB115" si="349">BIN2HEX(U121&amp;U120&amp;U119&amp;U118&amp;U117&amp;U116&amp;U115)</f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11" t="str">
        <f>BIN2HEX(AC121&amp;AC120&amp;AC119&amp;AC118&amp;AC117&amp;AC116&amp;AC115)</f>
        <v>0</v>
      </c>
      <c r="AK115" s="11" t="str">
        <f>BIN2HEX(AD121&amp;AD120&amp;AD119&amp;AD118&amp;AD117&amp;AD116&amp;AD115)</f>
        <v>0</v>
      </c>
      <c r="AL115" s="11" t="str">
        <f t="shared" ref="AL115" si="350">BIN2HEX(AE121&amp;AE120&amp;AE119&amp;AE118&amp;AE117&amp;AE116&amp;AE115)</f>
        <v>0</v>
      </c>
      <c r="AM115" s="11" t="str">
        <f t="shared" ref="AM115" si="351">BIN2HEX(AF121&amp;AF120&amp;AF119&amp;AF118&amp;AF117&amp;AF116&amp;AF115)</f>
        <v>0</v>
      </c>
      <c r="AN115" s="11" t="str">
        <f t="shared" ref="AN115" si="352">BIN2HEX(AG121&amp;AG120&amp;AG119&amp;AG118&amp;AG117&amp;AG116&amp;AG115)</f>
        <v>0</v>
      </c>
      <c r="AO115" s="11" t="str">
        <f t="shared" ref="AO115" si="353">BIN2HEX(AH121&amp;AH120&amp;AH119&amp;AH118&amp;AH117&amp;AH116&amp;AH115)</f>
        <v>0</v>
      </c>
      <c r="AP115" s="11" t="str">
        <f t="shared" ref="AP115" si="354">BIN2HEX(AI121&amp;AI120&amp;AI119&amp;AI118&amp;AI117&amp;AI116&amp;AI115)</f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11" t="str">
        <f>BIN2HEX(AQ121&amp;AQ120&amp;AQ119&amp;AQ118&amp;AQ117&amp;AQ116&amp;AQ115)</f>
        <v>0</v>
      </c>
      <c r="AY115" s="11" t="str">
        <f>BIN2HEX(AR121&amp;AR120&amp;AR119&amp;AR118&amp;AR117&amp;AR116&amp;AR115)</f>
        <v>8</v>
      </c>
      <c r="AZ115" s="11" t="str">
        <f t="shared" ref="AZ115" si="355">BIN2HEX(AS121&amp;AS120&amp;AS119&amp;AS118&amp;AS117&amp;AS116&amp;AS115)</f>
        <v>8</v>
      </c>
      <c r="BA115" s="11" t="str">
        <f t="shared" ref="BA115" si="356">BIN2HEX(AT121&amp;AT120&amp;AT119&amp;AT118&amp;AT117&amp;AT116&amp;AT115)</f>
        <v>3E</v>
      </c>
      <c r="BB115" s="11" t="str">
        <f t="shared" ref="BB115" si="357">BIN2HEX(AU121&amp;AU120&amp;AU119&amp;AU118&amp;AU117&amp;AU116&amp;AU115)</f>
        <v>8</v>
      </c>
      <c r="BC115" s="11" t="str">
        <f t="shared" ref="BC115" si="358">BIN2HEX(AV121&amp;AV120&amp;AV119&amp;AV118&amp;AV117&amp;AV116&amp;AV115)</f>
        <v>8</v>
      </c>
      <c r="BD115" s="11" t="str">
        <f t="shared" ref="BD115" si="359">BIN2HEX(AW121&amp;AW120&amp;AW119&amp;AW118&amp;AW117&amp;AW116&amp;AW115)</f>
        <v>0</v>
      </c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</row>
    <row r="116" spans="1:86" ht="15" customHeight="1" x14ac:dyDescent="0.25">
      <c r="A116" s="2">
        <v>0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34" t="str">
        <f>"0x"&amp;H115&amp;", 0x"&amp;I115&amp;", 0x"&amp;J115&amp;", 0x"&amp;K115&amp;", 0x"&amp;L115&amp;", 0x"&amp;M115&amp;", 0x"&amp;N115</f>
        <v>0x0, 0x0, 0x0, 0x0, 0x0, 0x0, 0x0</v>
      </c>
      <c r="I116" s="35"/>
      <c r="J116" s="35"/>
      <c r="K116" s="35"/>
      <c r="L116" s="35"/>
      <c r="M116" s="35"/>
      <c r="N116" s="35"/>
      <c r="O116" s="4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34" t="str">
        <f>"0x"&amp;V115&amp;", 0x"&amp;W115&amp;", 0x"&amp;X115&amp;", 0x"&amp;Y115&amp;", 0x"&amp;Z115&amp;", 0x"&amp;AA115&amp;", 0x"&amp;AB115</f>
        <v>0x0, 0x0, 0x0, 0x0, 0x0, 0x0, 0x0</v>
      </c>
      <c r="W116" s="35"/>
      <c r="X116" s="35"/>
      <c r="Y116" s="35"/>
      <c r="Z116" s="35"/>
      <c r="AA116" s="35"/>
      <c r="AB116" s="35"/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34" t="str">
        <f>"0x"&amp;AJ115&amp;", 0x"&amp;AK115&amp;", 0x"&amp;AL115&amp;", 0x"&amp;AM115&amp;", 0x"&amp;AN115&amp;", 0x"&amp;AO115&amp;", 0x"&amp;AP115</f>
        <v>0x0, 0x0, 0x0, 0x0, 0x0, 0x0, 0x0</v>
      </c>
      <c r="AK116" s="35"/>
      <c r="AL116" s="35"/>
      <c r="AM116" s="35"/>
      <c r="AN116" s="35"/>
      <c r="AO116" s="35"/>
      <c r="AP116" s="35"/>
      <c r="AQ116" s="2">
        <v>0</v>
      </c>
      <c r="AR116" s="2">
        <v>0</v>
      </c>
      <c r="AS116" s="2">
        <v>0</v>
      </c>
      <c r="AT116" s="2">
        <v>1</v>
      </c>
      <c r="AU116" s="2">
        <v>0</v>
      </c>
      <c r="AV116" s="2">
        <v>0</v>
      </c>
      <c r="AW116" s="2">
        <v>0</v>
      </c>
      <c r="AX116" s="34" t="str">
        <f>"0x"&amp;AX115&amp;", 0x"&amp;AY115&amp;", 0x"&amp;AZ115&amp;", 0x"&amp;BA115&amp;", 0x"&amp;BB115&amp;", 0x"&amp;BC115&amp;", 0x"&amp;BD115</f>
        <v>0x0, 0x8, 0x8, 0x3E, 0x8, 0x8, 0x0</v>
      </c>
      <c r="AY116" s="35"/>
      <c r="AZ116" s="35"/>
      <c r="BA116" s="35"/>
      <c r="BB116" s="35"/>
      <c r="BC116" s="35"/>
      <c r="BD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</row>
    <row r="117" spans="1:86" x14ac:dyDescent="0.25">
      <c r="A117" s="2">
        <v>0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34"/>
      <c r="I117" s="35"/>
      <c r="J117" s="35"/>
      <c r="K117" s="35"/>
      <c r="L117" s="35"/>
      <c r="M117" s="35"/>
      <c r="N117" s="35"/>
      <c r="O117" s="4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34"/>
      <c r="W117" s="35"/>
      <c r="X117" s="35"/>
      <c r="Y117" s="35"/>
      <c r="Z117" s="35"/>
      <c r="AA117" s="35"/>
      <c r="AB117" s="35"/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34"/>
      <c r="AK117" s="35"/>
      <c r="AL117" s="35"/>
      <c r="AM117" s="35"/>
      <c r="AN117" s="35"/>
      <c r="AO117" s="35"/>
      <c r="AP117" s="35"/>
      <c r="AQ117" s="2">
        <v>0</v>
      </c>
      <c r="AR117" s="2">
        <v>0</v>
      </c>
      <c r="AS117" s="2">
        <v>0</v>
      </c>
      <c r="AT117" s="2">
        <v>1</v>
      </c>
      <c r="AU117" s="2">
        <v>0</v>
      </c>
      <c r="AV117" s="2">
        <v>0</v>
      </c>
      <c r="AW117" s="2">
        <v>0</v>
      </c>
      <c r="AX117" s="34"/>
      <c r="AY117" s="35"/>
      <c r="AZ117" s="35"/>
      <c r="BA117" s="35"/>
      <c r="BB117" s="35"/>
      <c r="BC117" s="35"/>
      <c r="BD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</row>
    <row r="118" spans="1:86" x14ac:dyDescent="0.25">
      <c r="A118" s="2">
        <v>0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48" t="s">
        <v>47</v>
      </c>
      <c r="I118" s="49"/>
      <c r="J118" s="49"/>
      <c r="K118" s="49"/>
      <c r="L118" s="49"/>
      <c r="M118" s="49"/>
      <c r="N118" s="49"/>
      <c r="O118" s="4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50" t="s">
        <v>46</v>
      </c>
      <c r="W118" s="49"/>
      <c r="X118" s="49"/>
      <c r="Y118" s="49"/>
      <c r="Z118" s="49"/>
      <c r="AA118" s="49"/>
      <c r="AB118" s="49"/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48" t="s">
        <v>45</v>
      </c>
      <c r="AK118" s="49"/>
      <c r="AL118" s="49"/>
      <c r="AM118" s="49"/>
      <c r="AN118" s="49"/>
      <c r="AO118" s="49"/>
      <c r="AP118" s="49"/>
      <c r="AQ118" s="2">
        <v>0</v>
      </c>
      <c r="AR118" s="2">
        <v>1</v>
      </c>
      <c r="AS118" s="2">
        <v>1</v>
      </c>
      <c r="AT118" s="2">
        <v>1</v>
      </c>
      <c r="AU118" s="2">
        <v>1</v>
      </c>
      <c r="AV118" s="2">
        <v>1</v>
      </c>
      <c r="AW118" s="2">
        <v>0</v>
      </c>
      <c r="AX118" s="50" t="s">
        <v>43</v>
      </c>
      <c r="AY118" s="49"/>
      <c r="AZ118" s="49"/>
      <c r="BA118" s="49"/>
      <c r="BB118" s="49"/>
      <c r="BC118" s="49"/>
      <c r="BD118" s="49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</row>
    <row r="119" spans="1:86" ht="15" customHeight="1" x14ac:dyDescent="0.25">
      <c r="A119" s="2">
        <v>0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30" t="str">
        <f>"{{"&amp;H116&amp;"}"&amp;", "&amp;$H$1&amp;"},  //"&amp;H118&amp;":"&amp;L114&amp;":"&amp;N114</f>
        <v>{{0x0, 0x0, 0x0, 0x0, 0x0, 0x0, 0x0}, 7},  //(:0:40</v>
      </c>
      <c r="I119" s="35"/>
      <c r="J119" s="35"/>
      <c r="K119" s="35"/>
      <c r="L119" s="35"/>
      <c r="M119" s="35"/>
      <c r="N119" s="35"/>
      <c r="O119" s="4">
        <v>0</v>
      </c>
      <c r="P119" s="2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30" t="str">
        <f>"{{"&amp;V116&amp;"}"&amp;", "&amp;$H$1&amp;"},  //"&amp;V118&amp;":"&amp;Z114&amp;":"&amp;AB114</f>
        <v>{{0x0, 0x0, 0x0, 0x0, 0x0, 0x0, 0x0}, 7},  //):0:41</v>
      </c>
      <c r="W119" s="35"/>
      <c r="X119" s="35"/>
      <c r="Y119" s="35"/>
      <c r="Z119" s="35"/>
      <c r="AA119" s="35"/>
      <c r="AB119" s="35"/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30" t="str">
        <f>"{{"&amp;AJ116&amp;"}"&amp;", "&amp;$H$1&amp;"},  //"&amp;AJ118&amp;":"&amp;AN114&amp;":"&amp;AP114</f>
        <v>{{0x0, 0x0, 0x0, 0x0, 0x0, 0x0, 0x0}, 7},  //*:0:42</v>
      </c>
      <c r="AK119" s="35"/>
      <c r="AL119" s="35"/>
      <c r="AM119" s="35"/>
      <c r="AN119" s="35"/>
      <c r="AO119" s="35"/>
      <c r="AP119" s="35"/>
      <c r="AQ119" s="2">
        <v>0</v>
      </c>
      <c r="AR119" s="2">
        <v>0</v>
      </c>
      <c r="AS119" s="2">
        <v>0</v>
      </c>
      <c r="AT119" s="2">
        <v>1</v>
      </c>
      <c r="AU119" s="2">
        <v>0</v>
      </c>
      <c r="AV119" s="2">
        <v>0</v>
      </c>
      <c r="AW119" s="2">
        <v>0</v>
      </c>
      <c r="AX119" s="30" t="str">
        <f>"{{"&amp;AX116&amp;"}"&amp;", "&amp;$H$1&amp;"},  //"&amp;AX118&amp;":"&amp;BB114&amp;":"&amp;BD114</f>
        <v>{{0x0, 0x8, 0x8, 0x3E, 0x8, 0x8, 0x0}, 7},  //+:0:43</v>
      </c>
      <c r="AY119" s="35"/>
      <c r="AZ119" s="35"/>
      <c r="BA119" s="35"/>
      <c r="BB119" s="35"/>
      <c r="BC119" s="35"/>
      <c r="BD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</row>
    <row r="120" spans="1:86" x14ac:dyDescent="0.25">
      <c r="A120" s="2">
        <v>0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30"/>
      <c r="I120" s="35"/>
      <c r="J120" s="35"/>
      <c r="K120" s="35"/>
      <c r="L120" s="35"/>
      <c r="M120" s="35"/>
      <c r="N120" s="35"/>
      <c r="O120" s="4">
        <v>0</v>
      </c>
      <c r="P120" s="2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30"/>
      <c r="W120" s="35"/>
      <c r="X120" s="35"/>
      <c r="Y120" s="35"/>
      <c r="Z120" s="35"/>
      <c r="AA120" s="35"/>
      <c r="AB120" s="35"/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30"/>
      <c r="AK120" s="35"/>
      <c r="AL120" s="35"/>
      <c r="AM120" s="35"/>
      <c r="AN120" s="35"/>
      <c r="AO120" s="35"/>
      <c r="AP120" s="35"/>
      <c r="AQ120" s="2">
        <v>0</v>
      </c>
      <c r="AR120" s="2">
        <v>0</v>
      </c>
      <c r="AS120" s="2">
        <v>0</v>
      </c>
      <c r="AT120" s="2">
        <v>1</v>
      </c>
      <c r="AU120" s="2">
        <v>0</v>
      </c>
      <c r="AV120" s="2">
        <v>0</v>
      </c>
      <c r="AW120" s="2">
        <v>0</v>
      </c>
      <c r="AX120" s="30"/>
      <c r="AY120" s="35"/>
      <c r="AZ120" s="35"/>
      <c r="BA120" s="35"/>
      <c r="BB120" s="35"/>
      <c r="BC120" s="35"/>
      <c r="BD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</row>
    <row r="121" spans="1:86" x14ac:dyDescent="0.25">
      <c r="A121" s="2">
        <v>0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O121" s="4">
        <v>0</v>
      </c>
      <c r="P121" s="2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3"/>
      <c r="AK121" s="3"/>
      <c r="AL121" s="3"/>
      <c r="AM121" s="3"/>
      <c r="AN121" s="3"/>
      <c r="AO121" s="3"/>
      <c r="AP121" s="3"/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3"/>
      <c r="AY121" s="3"/>
      <c r="AZ121" s="3"/>
      <c r="BA121" s="3"/>
      <c r="BB121" s="3"/>
      <c r="BC121" s="3"/>
      <c r="BD121" s="3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</row>
    <row r="122" spans="1:86" s="4" customFormat="1" x14ac:dyDescent="0.25">
      <c r="A122" s="6">
        <v>1</v>
      </c>
      <c r="B122" s="6">
        <v>2</v>
      </c>
      <c r="C122" s="6">
        <v>3</v>
      </c>
      <c r="D122" s="6">
        <v>4</v>
      </c>
      <c r="E122" s="6">
        <v>5</v>
      </c>
      <c r="F122" s="6">
        <v>6</v>
      </c>
      <c r="G122" s="6">
        <v>7</v>
      </c>
      <c r="H122" s="44" t="s">
        <v>0</v>
      </c>
      <c r="I122" s="44"/>
      <c r="J122" s="44"/>
      <c r="K122" s="44"/>
      <c r="L122" s="45">
        <v>0</v>
      </c>
      <c r="M122" s="45"/>
      <c r="N122" s="16">
        <v>44</v>
      </c>
      <c r="O122" s="6">
        <v>1</v>
      </c>
      <c r="P122" s="6">
        <v>2</v>
      </c>
      <c r="Q122" s="6">
        <v>3</v>
      </c>
      <c r="R122" s="6">
        <v>4</v>
      </c>
      <c r="S122" s="6">
        <v>5</v>
      </c>
      <c r="T122" s="6">
        <v>6</v>
      </c>
      <c r="U122" s="6">
        <v>7</v>
      </c>
      <c r="V122" s="44" t="s">
        <v>0</v>
      </c>
      <c r="W122" s="44"/>
      <c r="X122" s="44"/>
      <c r="Y122" s="44"/>
      <c r="Z122" s="45">
        <v>0</v>
      </c>
      <c r="AA122" s="45"/>
      <c r="AB122" s="16">
        <v>45</v>
      </c>
      <c r="AC122" s="6">
        <v>1</v>
      </c>
      <c r="AD122" s="6">
        <v>2</v>
      </c>
      <c r="AE122" s="6">
        <v>3</v>
      </c>
      <c r="AF122" s="6">
        <v>4</v>
      </c>
      <c r="AG122" s="6">
        <v>5</v>
      </c>
      <c r="AH122" s="6">
        <v>6</v>
      </c>
      <c r="AI122" s="6">
        <v>7</v>
      </c>
      <c r="AJ122" s="44" t="s">
        <v>0</v>
      </c>
      <c r="AK122" s="44"/>
      <c r="AL122" s="44"/>
      <c r="AM122" s="44"/>
      <c r="AN122" s="45">
        <v>0</v>
      </c>
      <c r="AO122" s="45"/>
      <c r="AP122" s="16">
        <v>46</v>
      </c>
      <c r="AQ122" s="6">
        <v>1</v>
      </c>
      <c r="AR122" s="6">
        <v>2</v>
      </c>
      <c r="AS122" s="6">
        <v>3</v>
      </c>
      <c r="AT122" s="6">
        <v>4</v>
      </c>
      <c r="AU122" s="6">
        <v>5</v>
      </c>
      <c r="AV122" s="6">
        <v>6</v>
      </c>
      <c r="AW122" s="6">
        <v>7</v>
      </c>
      <c r="AX122" s="44" t="s">
        <v>0</v>
      </c>
      <c r="AY122" s="44"/>
      <c r="AZ122" s="44"/>
      <c r="BA122" s="44"/>
      <c r="BB122" s="45">
        <v>0</v>
      </c>
      <c r="BC122" s="45"/>
      <c r="BD122" s="16">
        <v>47</v>
      </c>
      <c r="BE122" s="20"/>
      <c r="BF122" s="20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</row>
    <row r="123" spans="1:86" x14ac:dyDescent="0.25">
      <c r="A123" s="2">
        <v>0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11" t="str">
        <f>BIN2HEX(A129&amp;A128&amp;A127&amp;A126&amp;A125&amp;A124&amp;A123)</f>
        <v>0</v>
      </c>
      <c r="I123" s="11" t="str">
        <f>BIN2HEX(B129&amp;B128&amp;B127&amp;B126&amp;B125&amp;B124&amp;B123)</f>
        <v>0</v>
      </c>
      <c r="J123" s="11" t="str">
        <f t="shared" ref="J123" si="360">BIN2HEX(C129&amp;C128&amp;C127&amp;C126&amp;C125&amp;C124&amp;C123)</f>
        <v>30</v>
      </c>
      <c r="K123" s="11" t="str">
        <f t="shared" ref="K123" si="361">BIN2HEX(D129&amp;D128&amp;D127&amp;D126&amp;D125&amp;D124&amp;D123)</f>
        <v>70</v>
      </c>
      <c r="L123" s="11" t="str">
        <f t="shared" ref="L123" si="362">BIN2HEX(E129&amp;E128&amp;E127&amp;E126&amp;E125&amp;E124&amp;E123)</f>
        <v>0</v>
      </c>
      <c r="M123" s="11" t="str">
        <f t="shared" ref="M123" si="363">BIN2HEX(F129&amp;F128&amp;F127&amp;F126&amp;F125&amp;F124&amp;F123)</f>
        <v>0</v>
      </c>
      <c r="N123" s="11" t="str">
        <f t="shared" ref="N123" si="364">BIN2HEX(G129&amp;G128&amp;G127&amp;G126&amp;G125&amp;G124&amp;G123)</f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11" t="str">
        <f>BIN2HEX(O129&amp;O128&amp;O127&amp;O126&amp;O125&amp;O124&amp;O123)</f>
        <v>0</v>
      </c>
      <c r="W123" s="11" t="str">
        <f>BIN2HEX(P129&amp;P128&amp;P127&amp;P126&amp;P125&amp;P124&amp;P123)</f>
        <v>8</v>
      </c>
      <c r="X123" s="11" t="str">
        <f t="shared" ref="X123" si="365">BIN2HEX(Q129&amp;Q128&amp;Q127&amp;Q126&amp;Q125&amp;Q124&amp;Q123)</f>
        <v>8</v>
      </c>
      <c r="Y123" s="11" t="str">
        <f t="shared" ref="Y123" si="366">BIN2HEX(R129&amp;R128&amp;R127&amp;R126&amp;R125&amp;R124&amp;R123)</f>
        <v>8</v>
      </c>
      <c r="Z123" s="11" t="str">
        <f t="shared" ref="Z123" si="367">BIN2HEX(S129&amp;S128&amp;S127&amp;S126&amp;S125&amp;S124&amp;S123)</f>
        <v>8</v>
      </c>
      <c r="AA123" s="11" t="str">
        <f t="shared" ref="AA123" si="368">BIN2HEX(T129&amp;T128&amp;T127&amp;T126&amp;T125&amp;T124&amp;T123)</f>
        <v>0</v>
      </c>
      <c r="AB123" s="11" t="str">
        <f t="shared" ref="AB123" si="369">BIN2HEX(U129&amp;U128&amp;U127&amp;U126&amp;U125&amp;U124&amp;U123)</f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11" t="str">
        <f>BIN2HEX(AC129&amp;AC128&amp;AC127&amp;AC126&amp;AC125&amp;AC124&amp;AC123)</f>
        <v>0</v>
      </c>
      <c r="AK123" s="11" t="str">
        <f>BIN2HEX(AD129&amp;AD128&amp;AD127&amp;AD126&amp;AD125&amp;AD124&amp;AD123)</f>
        <v>0</v>
      </c>
      <c r="AL123" s="11" t="str">
        <f t="shared" ref="AL123" si="370">BIN2HEX(AE129&amp;AE128&amp;AE127&amp;AE126&amp;AE125&amp;AE124&amp;AE123)</f>
        <v>30</v>
      </c>
      <c r="AM123" s="11" t="str">
        <f t="shared" ref="AM123" si="371">BIN2HEX(AF129&amp;AF128&amp;AF127&amp;AF126&amp;AF125&amp;AF124&amp;AF123)</f>
        <v>30</v>
      </c>
      <c r="AN123" s="11" t="str">
        <f t="shared" ref="AN123" si="372">BIN2HEX(AG129&amp;AG128&amp;AG127&amp;AG126&amp;AG125&amp;AG124&amp;AG123)</f>
        <v>0</v>
      </c>
      <c r="AO123" s="11" t="str">
        <f t="shared" ref="AO123" si="373">BIN2HEX(AH129&amp;AH128&amp;AH127&amp;AH126&amp;AH125&amp;AH124&amp;AH123)</f>
        <v>0</v>
      </c>
      <c r="AP123" s="11" t="str">
        <f t="shared" ref="AP123" si="374">BIN2HEX(AI129&amp;AI128&amp;AI127&amp;AI126&amp;AI125&amp;AI124&amp;AI123)</f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1</v>
      </c>
      <c r="AW123" s="2">
        <v>0</v>
      </c>
      <c r="AX123" s="11" t="str">
        <f>BIN2HEX(AQ129&amp;AQ128&amp;AQ127&amp;AQ126&amp;AQ125&amp;AQ124&amp;AQ123)</f>
        <v>20</v>
      </c>
      <c r="AY123" s="11" t="str">
        <f>BIN2HEX(AR129&amp;AR128&amp;AR127&amp;AR126&amp;AR125&amp;AR124&amp;AR123)</f>
        <v>10</v>
      </c>
      <c r="AZ123" s="11" t="str">
        <f t="shared" ref="AZ123" si="375">BIN2HEX(AS129&amp;AS128&amp;AS127&amp;AS126&amp;AS125&amp;AS124&amp;AS123)</f>
        <v>8</v>
      </c>
      <c r="BA123" s="11" t="str">
        <f t="shared" ref="BA123" si="376">BIN2HEX(AT129&amp;AT128&amp;AT127&amp;AT126&amp;AT125&amp;AT124&amp;AT123)</f>
        <v>4</v>
      </c>
      <c r="BB123" s="11" t="str">
        <f t="shared" ref="BB123" si="377">BIN2HEX(AU129&amp;AU128&amp;AU127&amp;AU126&amp;AU125&amp;AU124&amp;AU123)</f>
        <v>2</v>
      </c>
      <c r="BC123" s="11" t="str">
        <f t="shared" ref="BC123" si="378">BIN2HEX(AV129&amp;AV128&amp;AV127&amp;AV126&amp;AV125&amp;AV124&amp;AV123)</f>
        <v>1</v>
      </c>
      <c r="BD123" s="11" t="str">
        <f t="shared" ref="BD123" si="379">BIN2HEX(AW129&amp;AW128&amp;AW127&amp;AW126&amp;AW125&amp;AW124&amp;AW123)</f>
        <v>0</v>
      </c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</row>
    <row r="124" spans="1:86" ht="15" customHeight="1" x14ac:dyDescent="0.25">
      <c r="A124" s="4">
        <v>0</v>
      </c>
      <c r="B124" s="2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34" t="str">
        <f>"0x"&amp;H123&amp;", 0x"&amp;I123&amp;", 0x"&amp;J123&amp;", 0x"&amp;K123&amp;", 0x"&amp;L123&amp;", 0x"&amp;M123&amp;", 0x"&amp;N123</f>
        <v>0x0, 0x0, 0x30, 0x70, 0x0, 0x0, 0x0</v>
      </c>
      <c r="I124" s="35"/>
      <c r="J124" s="35"/>
      <c r="K124" s="35"/>
      <c r="L124" s="35"/>
      <c r="M124" s="35"/>
      <c r="N124" s="35"/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34" t="str">
        <f>"0x"&amp;V123&amp;", 0x"&amp;W123&amp;", 0x"&amp;X123&amp;", 0x"&amp;Y123&amp;", 0x"&amp;Z123&amp;", 0x"&amp;AA123&amp;", 0x"&amp;AB123</f>
        <v>0x0, 0x8, 0x8, 0x8, 0x8, 0x0, 0x0</v>
      </c>
      <c r="W124" s="35"/>
      <c r="X124" s="35"/>
      <c r="Y124" s="35"/>
      <c r="Z124" s="35"/>
      <c r="AA124" s="35"/>
      <c r="AB124" s="35"/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34" t="str">
        <f>"0x"&amp;AJ123&amp;", 0x"&amp;AK123&amp;", 0x"&amp;AL123&amp;", 0x"&amp;AM123&amp;", 0x"&amp;AN123&amp;", 0x"&amp;AO123&amp;", 0x"&amp;AP123</f>
        <v>0x0, 0x0, 0x30, 0x30, 0x0, 0x0, 0x0</v>
      </c>
      <c r="AK124" s="35"/>
      <c r="AL124" s="35"/>
      <c r="AM124" s="35"/>
      <c r="AN124" s="35"/>
      <c r="AO124" s="35"/>
      <c r="AP124" s="35"/>
      <c r="AQ124" s="4">
        <v>0</v>
      </c>
      <c r="AR124" s="2">
        <v>0</v>
      </c>
      <c r="AS124" s="4">
        <v>0</v>
      </c>
      <c r="AT124" s="4">
        <v>0</v>
      </c>
      <c r="AU124" s="4">
        <v>1</v>
      </c>
      <c r="AV124" s="4">
        <v>0</v>
      </c>
      <c r="AW124" s="4">
        <v>0</v>
      </c>
      <c r="AX124" s="34" t="str">
        <f>"0x"&amp;AX123&amp;", 0x"&amp;AY123&amp;", 0x"&amp;AZ123&amp;", 0x"&amp;BA123&amp;", 0x"&amp;BB123&amp;", 0x"&amp;BC123&amp;", 0x"&amp;BD123</f>
        <v>0x20, 0x10, 0x8, 0x4, 0x2, 0x1, 0x0</v>
      </c>
      <c r="AY124" s="35"/>
      <c r="AZ124" s="35"/>
      <c r="BA124" s="35"/>
      <c r="BB124" s="35"/>
      <c r="BC124" s="35"/>
      <c r="BD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</row>
    <row r="125" spans="1:86" x14ac:dyDescent="0.25">
      <c r="A125" s="4">
        <v>0</v>
      </c>
      <c r="B125" s="2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34"/>
      <c r="I125" s="35"/>
      <c r="J125" s="35"/>
      <c r="K125" s="35"/>
      <c r="L125" s="35"/>
      <c r="M125" s="35"/>
      <c r="N125" s="35"/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34"/>
      <c r="W125" s="35"/>
      <c r="X125" s="35"/>
      <c r="Y125" s="35"/>
      <c r="Z125" s="35"/>
      <c r="AA125" s="35"/>
      <c r="AB125" s="35"/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34"/>
      <c r="AK125" s="35"/>
      <c r="AL125" s="35"/>
      <c r="AM125" s="35"/>
      <c r="AN125" s="35"/>
      <c r="AO125" s="35"/>
      <c r="AP125" s="35"/>
      <c r="AQ125" s="4">
        <v>0</v>
      </c>
      <c r="AR125" s="2">
        <v>0</v>
      </c>
      <c r="AS125" s="4">
        <v>0</v>
      </c>
      <c r="AT125" s="4">
        <v>1</v>
      </c>
      <c r="AU125" s="4">
        <v>0</v>
      </c>
      <c r="AV125" s="4">
        <v>0</v>
      </c>
      <c r="AW125" s="4">
        <v>0</v>
      </c>
      <c r="AX125" s="34"/>
      <c r="AY125" s="35"/>
      <c r="AZ125" s="35"/>
      <c r="BA125" s="35"/>
      <c r="BB125" s="35"/>
      <c r="BC125" s="35"/>
      <c r="BD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</row>
    <row r="126" spans="1:86" x14ac:dyDescent="0.25">
      <c r="A126" s="4">
        <v>0</v>
      </c>
      <c r="B126" s="2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8" t="s">
        <v>42</v>
      </c>
      <c r="I126" s="49"/>
      <c r="J126" s="49"/>
      <c r="K126" s="49"/>
      <c r="L126" s="49"/>
      <c r="M126" s="49"/>
      <c r="N126" s="49"/>
      <c r="O126" s="2">
        <v>0</v>
      </c>
      <c r="P126" s="2">
        <v>1</v>
      </c>
      <c r="Q126" s="2">
        <v>1</v>
      </c>
      <c r="R126" s="2">
        <v>1</v>
      </c>
      <c r="S126" s="2">
        <v>1</v>
      </c>
      <c r="T126" s="2">
        <v>0</v>
      </c>
      <c r="U126" s="2">
        <v>0</v>
      </c>
      <c r="V126" s="50" t="s">
        <v>44</v>
      </c>
      <c r="W126" s="49"/>
      <c r="X126" s="49"/>
      <c r="Y126" s="49"/>
      <c r="Z126" s="49"/>
      <c r="AA126" s="49"/>
      <c r="AB126" s="49"/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48" t="s">
        <v>41</v>
      </c>
      <c r="AK126" s="49"/>
      <c r="AL126" s="49"/>
      <c r="AM126" s="49"/>
      <c r="AN126" s="49"/>
      <c r="AO126" s="49"/>
      <c r="AP126" s="49"/>
      <c r="AQ126" s="4">
        <v>0</v>
      </c>
      <c r="AR126" s="2">
        <v>0</v>
      </c>
      <c r="AS126" s="4">
        <v>1</v>
      </c>
      <c r="AT126" s="4">
        <v>0</v>
      </c>
      <c r="AU126" s="4">
        <v>0</v>
      </c>
      <c r="AV126" s="4">
        <v>0</v>
      </c>
      <c r="AW126" s="4">
        <v>0</v>
      </c>
      <c r="AX126" s="50" t="s">
        <v>40</v>
      </c>
      <c r="AY126" s="49"/>
      <c r="AZ126" s="49"/>
      <c r="BA126" s="49"/>
      <c r="BB126" s="49"/>
      <c r="BC126" s="49"/>
      <c r="BD126" s="49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</row>
    <row r="127" spans="1:86" ht="15" customHeight="1" x14ac:dyDescent="0.25">
      <c r="A127" s="4">
        <v>0</v>
      </c>
      <c r="B127" s="2">
        <v>0</v>
      </c>
      <c r="C127" s="2">
        <v>1</v>
      </c>
      <c r="D127" s="2">
        <v>1</v>
      </c>
      <c r="E127" s="4">
        <v>0</v>
      </c>
      <c r="F127" s="4">
        <v>0</v>
      </c>
      <c r="G127" s="4">
        <v>0</v>
      </c>
      <c r="H127" s="30" t="str">
        <f>"{{"&amp;H124&amp;"}"&amp;", "&amp;$H$1&amp;"},  //"&amp;H126&amp;":"&amp;L122&amp;":"&amp;N122</f>
        <v>{{0x0, 0x0, 0x30, 0x70, 0x0, 0x0, 0x0}, 7},  //,:0:44</v>
      </c>
      <c r="I127" s="35"/>
      <c r="J127" s="35"/>
      <c r="K127" s="35"/>
      <c r="L127" s="35"/>
      <c r="M127" s="35"/>
      <c r="N127" s="35"/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30" t="str">
        <f>"{{"&amp;V124&amp;"}"&amp;", "&amp;$H$1&amp;"},  //"&amp;V126&amp;":"&amp;Z122&amp;":"&amp;AB122</f>
        <v>{{0x0, 0x8, 0x8, 0x8, 0x8, 0x0, 0x0}, 7},  //-:0:45</v>
      </c>
      <c r="W127" s="35"/>
      <c r="X127" s="35"/>
      <c r="Y127" s="35"/>
      <c r="Z127" s="35"/>
      <c r="AA127" s="35"/>
      <c r="AB127" s="35"/>
      <c r="AC127" s="2">
        <v>0</v>
      </c>
      <c r="AD127" s="2">
        <v>0</v>
      </c>
      <c r="AE127" s="2">
        <v>1</v>
      </c>
      <c r="AF127" s="2">
        <v>1</v>
      </c>
      <c r="AG127" s="2">
        <v>0</v>
      </c>
      <c r="AH127" s="2">
        <v>0</v>
      </c>
      <c r="AI127" s="2">
        <v>0</v>
      </c>
      <c r="AJ127" s="30" t="str">
        <f>"{{"&amp;AJ124&amp;"}"&amp;", "&amp;$H$1&amp;"},  //"&amp;AJ126&amp;":"&amp;AN122&amp;":"&amp;AP122</f>
        <v>{{0x0, 0x0, 0x30, 0x30, 0x0, 0x0, 0x0}, 7},  //.:0:46</v>
      </c>
      <c r="AK127" s="35"/>
      <c r="AL127" s="35"/>
      <c r="AM127" s="35"/>
      <c r="AN127" s="35"/>
      <c r="AO127" s="35"/>
      <c r="AP127" s="35"/>
      <c r="AQ127" s="4">
        <v>0</v>
      </c>
      <c r="AR127" s="2">
        <v>1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30" t="str">
        <f>"{{"&amp;AX124&amp;"}"&amp;", "&amp;$H$1&amp;"},  //"&amp;AX126&amp;":"&amp;BB122&amp;":"&amp;BD122</f>
        <v>{{0x20, 0x10, 0x8, 0x4, 0x2, 0x1, 0x0}, 7},  // /:0:47</v>
      </c>
      <c r="AY127" s="35"/>
      <c r="AZ127" s="35"/>
      <c r="BA127" s="35"/>
      <c r="BB127" s="35"/>
      <c r="BC127" s="35"/>
      <c r="BD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</row>
    <row r="128" spans="1:86" x14ac:dyDescent="0.25">
      <c r="A128" s="4">
        <v>0</v>
      </c>
      <c r="B128" s="2">
        <v>0</v>
      </c>
      <c r="C128" s="2">
        <v>1</v>
      </c>
      <c r="D128" s="2">
        <v>1</v>
      </c>
      <c r="E128" s="4">
        <v>0</v>
      </c>
      <c r="F128" s="4">
        <v>0</v>
      </c>
      <c r="G128" s="4">
        <v>0</v>
      </c>
      <c r="H128" s="30"/>
      <c r="I128" s="35"/>
      <c r="J128" s="35"/>
      <c r="K128" s="35"/>
      <c r="L128" s="35"/>
      <c r="M128" s="35"/>
      <c r="N128" s="35"/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30"/>
      <c r="W128" s="35"/>
      <c r="X128" s="35"/>
      <c r="Y128" s="35"/>
      <c r="Z128" s="35"/>
      <c r="AA128" s="35"/>
      <c r="AB128" s="35"/>
      <c r="AC128" s="2">
        <v>0</v>
      </c>
      <c r="AD128" s="2">
        <v>0</v>
      </c>
      <c r="AE128" s="2">
        <v>1</v>
      </c>
      <c r="AF128" s="2">
        <v>1</v>
      </c>
      <c r="AG128" s="2">
        <v>0</v>
      </c>
      <c r="AH128" s="2">
        <v>0</v>
      </c>
      <c r="AI128" s="2">
        <v>0</v>
      </c>
      <c r="AJ128" s="30"/>
      <c r="AK128" s="35"/>
      <c r="AL128" s="35"/>
      <c r="AM128" s="35"/>
      <c r="AN128" s="35"/>
      <c r="AO128" s="35"/>
      <c r="AP128" s="35"/>
      <c r="AQ128" s="4">
        <v>1</v>
      </c>
      <c r="AR128" s="2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30"/>
      <c r="AY128" s="35"/>
      <c r="AZ128" s="35"/>
      <c r="BA128" s="35"/>
      <c r="BB128" s="35"/>
      <c r="BC128" s="35"/>
      <c r="BD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</row>
    <row r="129" spans="1:86" x14ac:dyDescent="0.25">
      <c r="A129" s="4">
        <v>0</v>
      </c>
      <c r="B129" s="2">
        <v>0</v>
      </c>
      <c r="C129" s="4">
        <v>0</v>
      </c>
      <c r="D129" s="4">
        <v>1</v>
      </c>
      <c r="E129" s="4">
        <v>0</v>
      </c>
      <c r="F129" s="4">
        <v>0</v>
      </c>
      <c r="G129" s="4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3"/>
      <c r="AK129" s="3"/>
      <c r="AL129" s="3"/>
      <c r="AM129" s="3"/>
      <c r="AN129" s="3"/>
      <c r="AO129" s="3"/>
      <c r="AP129" s="3"/>
      <c r="AQ129" s="4">
        <v>0</v>
      </c>
      <c r="AR129" s="2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3"/>
      <c r="AY129" s="3"/>
      <c r="AZ129" s="3"/>
      <c r="BA129" s="3"/>
      <c r="BB129" s="3"/>
      <c r="BC129" s="3"/>
      <c r="BD129" s="3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</row>
    <row r="130" spans="1:86" ht="15" customHeight="1" x14ac:dyDescent="0.25">
      <c r="A130" s="6"/>
      <c r="B130" s="6"/>
      <c r="C130" s="6"/>
      <c r="D130" s="6"/>
      <c r="E130" s="6"/>
      <c r="F130" s="6"/>
      <c r="G130" s="6"/>
      <c r="H130" s="44"/>
      <c r="I130" s="44"/>
      <c r="J130" s="44"/>
      <c r="K130" s="44"/>
      <c r="L130" s="45"/>
      <c r="M130" s="45"/>
      <c r="N130" s="16"/>
      <c r="O130" s="6"/>
      <c r="P130" s="6"/>
      <c r="Q130" s="6"/>
      <c r="R130" s="6"/>
      <c r="S130" s="6"/>
      <c r="T130" s="6"/>
      <c r="U130" s="6"/>
      <c r="V130" s="44"/>
      <c r="W130" s="44"/>
      <c r="X130" s="44"/>
      <c r="Y130" s="44"/>
      <c r="Z130" s="45"/>
      <c r="AA130" s="45"/>
      <c r="AB130" s="16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</row>
    <row r="131" spans="1:86" x14ac:dyDescent="0.25">
      <c r="A131" s="2"/>
      <c r="B131" s="2"/>
      <c r="C131" s="2"/>
      <c r="D131" s="2"/>
      <c r="E131" s="2"/>
      <c r="F131" s="2"/>
      <c r="G131" s="2"/>
      <c r="O131" s="2"/>
      <c r="P131" s="2"/>
      <c r="Q131" s="2"/>
      <c r="R131" s="2"/>
      <c r="S131" s="2"/>
      <c r="T131" s="2"/>
      <c r="U131" s="2"/>
      <c r="AC131" s="29" t="str">
        <f>H103
&amp;CHAR(10)&amp;V103
&amp;CHAR(10)&amp;AJ103
&amp;CHAR(10)&amp;AX103
&amp;CHAR(10)&amp;H111
&amp;CHAR(10)&amp;V111
&amp;CHAR(10)&amp;AJ111
&amp;CHAR(10)&amp;AX111
&amp;CHAR(10)&amp;H119
&amp;CHAR(10)&amp;V119
&amp;CHAR(10)&amp;AJ119
&amp;CHAR(10)&amp;AX119
&amp;CHAR(10)&amp;H127
&amp;CHAR(10)&amp;V127
&amp;CHAR(10)&amp;AJ127
&amp;CHAR(10)&amp;AX127</f>
        <v>{{0x0, 0x0, 0x0, 0x0, 0x0, 0x0, 0x0}, 7},  //:0:32
{{0x0, 0x0, 0x0, 0x2F, 0x0, 0x0, 0x0}, 7},  //!:0:33
{{0x0, 0x0, 0x3, 0x0, 0x3, 0x0, 0x0}, 7},  //":0:34
{{0x0, 0xA, 0x3F, 0xA, 0x3F, 0xA, 0x0}, 7},  //#:0:35
{{0x0, 0x0, 0x0, 0x0, 0x0, 0x0, 0x0}, 7},  //$:0:36
{{0x0, 0x0, 0x0, 0x0, 0x0, 0x0, 0x0}, 7},  //%:0:37
{{0x0, 0x0, 0x0, 0x0, 0x0, 0x0, 0x0}, 7},  //&amp;:0:38
{{0x0, 0x0, 0x0, 0x0, 0x3, 0x0, 0x0}, 7},  //`:0:39
{{0x0, 0x0, 0x0, 0x0, 0x0, 0x0, 0x0}, 7},  //(:0:40
{{0x0, 0x0, 0x0, 0x0, 0x0, 0x0, 0x0}, 7},  //):0:41
{{0x0, 0x0, 0x0, 0x0, 0x0, 0x0, 0x0}, 7},  //*:0:42
{{0x0, 0x8, 0x8, 0x3E, 0x8, 0x8, 0x0}, 7},  //+:0:43
{{0x0, 0x0, 0x30, 0x70, 0x0, 0x0, 0x0}, 7},  //,:0:44
{{0x0, 0x8, 0x8, 0x8, 0x8, 0x0, 0x0}, 7},  //-:0:45
{{0x0, 0x0, 0x30, 0x30, 0x0, 0x0, 0x0}, 7},  //.:0:46
{{0x20, 0x10, 0x8, 0x4, 0x2, 0x1, 0x0}, 7},  // /:0:47</v>
      </c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</row>
    <row r="132" spans="1:86" x14ac:dyDescent="0.25">
      <c r="A132" s="2"/>
      <c r="B132" s="2"/>
      <c r="C132" s="2"/>
      <c r="D132" s="2"/>
      <c r="E132" s="2"/>
      <c r="F132" s="2"/>
      <c r="G132" s="2"/>
      <c r="H132" s="46"/>
      <c r="I132" s="47"/>
      <c r="J132" s="47"/>
      <c r="K132" s="47"/>
      <c r="L132" s="47"/>
      <c r="M132" s="47"/>
      <c r="N132" s="47"/>
      <c r="P132" s="2"/>
      <c r="Q132" s="2"/>
      <c r="R132" s="2"/>
      <c r="S132" s="2"/>
      <c r="T132" s="2"/>
      <c r="U132" s="2"/>
      <c r="V132" s="46"/>
      <c r="W132" s="47"/>
      <c r="X132" s="47"/>
      <c r="Y132" s="47"/>
      <c r="Z132" s="47"/>
      <c r="AA132" s="47"/>
      <c r="AB132" s="47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</row>
    <row r="133" spans="1:86" x14ac:dyDescent="0.25">
      <c r="A133" s="2"/>
      <c r="B133" s="2"/>
      <c r="C133" s="2"/>
      <c r="D133" s="2"/>
      <c r="E133" s="2"/>
      <c r="F133" s="2"/>
      <c r="G133" s="2"/>
      <c r="H133" s="46"/>
      <c r="I133" s="47"/>
      <c r="J133" s="47"/>
      <c r="K133" s="47"/>
      <c r="L133" s="47"/>
      <c r="M133" s="47"/>
      <c r="N133" s="47"/>
      <c r="P133" s="2"/>
      <c r="Q133" s="2"/>
      <c r="R133" s="2"/>
      <c r="S133" s="2"/>
      <c r="T133" s="2"/>
      <c r="U133" s="2"/>
      <c r="V133" s="46"/>
      <c r="W133" s="47"/>
      <c r="X133" s="47"/>
      <c r="Y133" s="47"/>
      <c r="Z133" s="47"/>
      <c r="AA133" s="47"/>
      <c r="AB133" s="47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</row>
    <row r="134" spans="1:86" x14ac:dyDescent="0.25">
      <c r="A134" s="2"/>
      <c r="B134" s="2"/>
      <c r="C134" s="2"/>
      <c r="D134" s="2"/>
      <c r="E134" s="2"/>
      <c r="F134" s="2"/>
      <c r="G134" s="2"/>
      <c r="H134" s="48"/>
      <c r="I134" s="49"/>
      <c r="J134" s="49"/>
      <c r="K134" s="49"/>
      <c r="L134" s="49"/>
      <c r="M134" s="49"/>
      <c r="N134" s="49"/>
      <c r="P134" s="2"/>
      <c r="Q134" s="2"/>
      <c r="R134" s="2"/>
      <c r="S134" s="2"/>
      <c r="T134" s="2"/>
      <c r="U134" s="2"/>
      <c r="V134" s="50"/>
      <c r="W134" s="49"/>
      <c r="X134" s="49"/>
      <c r="Y134" s="49"/>
      <c r="Z134" s="49"/>
      <c r="AA134" s="49"/>
      <c r="AB134" s="49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</row>
    <row r="135" spans="1:86" x14ac:dyDescent="0.25">
      <c r="A135" s="2"/>
      <c r="B135" s="2"/>
      <c r="C135" s="2"/>
      <c r="D135" s="2"/>
      <c r="E135" s="2"/>
      <c r="F135" s="2"/>
      <c r="G135" s="2"/>
      <c r="H135" s="30"/>
      <c r="I135" s="35"/>
      <c r="J135" s="35"/>
      <c r="K135" s="35"/>
      <c r="L135" s="35"/>
      <c r="M135" s="35"/>
      <c r="N135" s="35"/>
      <c r="P135" s="2"/>
      <c r="V135" s="30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</row>
    <row r="136" spans="1:86" x14ac:dyDescent="0.25">
      <c r="A136" s="2"/>
      <c r="B136" s="2"/>
      <c r="C136" s="2"/>
      <c r="D136" s="2"/>
      <c r="E136" s="2"/>
      <c r="F136" s="2"/>
      <c r="G136" s="2"/>
      <c r="H136" s="30"/>
      <c r="I136" s="35"/>
      <c r="J136" s="35"/>
      <c r="K136" s="35"/>
      <c r="L136" s="35"/>
      <c r="M136" s="35"/>
      <c r="N136" s="35"/>
      <c r="P136" s="2"/>
      <c r="V136" s="30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</row>
    <row r="137" spans="1:86" x14ac:dyDescent="0.25">
      <c r="A137" s="2"/>
      <c r="B137" s="2"/>
      <c r="C137" s="2"/>
      <c r="D137" s="2"/>
      <c r="E137" s="2"/>
      <c r="F137" s="2"/>
      <c r="G137" s="2"/>
      <c r="P137" s="2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</row>
    <row r="138" spans="1:86" x14ac:dyDescent="0.25">
      <c r="A138" s="6"/>
      <c r="B138" s="6"/>
      <c r="C138" s="6"/>
      <c r="D138" s="6"/>
      <c r="E138" s="6"/>
      <c r="F138" s="6"/>
      <c r="G138" s="6"/>
      <c r="H138" s="44"/>
      <c r="I138" s="44"/>
      <c r="J138" s="44"/>
      <c r="K138" s="44"/>
      <c r="L138" s="45"/>
      <c r="M138" s="45"/>
      <c r="N138" s="16"/>
      <c r="O138" s="6"/>
      <c r="P138" s="6"/>
      <c r="Q138" s="6"/>
      <c r="R138" s="6"/>
      <c r="S138" s="6"/>
      <c r="T138" s="6"/>
      <c r="U138" s="6"/>
      <c r="V138" s="44"/>
      <c r="W138" s="44"/>
      <c r="X138" s="44"/>
      <c r="Y138" s="44"/>
      <c r="Z138" s="45"/>
      <c r="AA138" s="45"/>
      <c r="AB138" s="16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G138" s="27">
        <v>1</v>
      </c>
      <c r="BH138" s="27">
        <v>2</v>
      </c>
      <c r="BI138" s="27">
        <v>3</v>
      </c>
      <c r="BJ138" s="27">
        <v>4</v>
      </c>
      <c r="BK138" s="27">
        <v>5</v>
      </c>
      <c r="BL138" s="27">
        <v>6</v>
      </c>
      <c r="BM138" s="27">
        <v>7</v>
      </c>
      <c r="BN138" s="39" t="s">
        <v>0</v>
      </c>
      <c r="BO138" s="39"/>
      <c r="BP138" s="39"/>
      <c r="BQ138" s="39"/>
      <c r="BR138" s="40">
        <v>0</v>
      </c>
      <c r="BS138" s="40"/>
      <c r="BT138" s="27">
        <v>91</v>
      </c>
      <c r="BU138" s="27">
        <v>1</v>
      </c>
      <c r="BV138" s="27">
        <v>2</v>
      </c>
      <c r="BW138" s="27">
        <v>3</v>
      </c>
      <c r="BX138" s="27">
        <v>4</v>
      </c>
      <c r="BY138" s="27">
        <v>5</v>
      </c>
      <c r="BZ138" s="27">
        <v>6</v>
      </c>
      <c r="CA138" s="27">
        <v>7</v>
      </c>
      <c r="CB138" s="39" t="s">
        <v>0</v>
      </c>
      <c r="CC138" s="39"/>
      <c r="CD138" s="39"/>
      <c r="CE138" s="39"/>
      <c r="CF138" s="40">
        <v>0</v>
      </c>
      <c r="CG138" s="40"/>
      <c r="CH138" s="27">
        <v>92</v>
      </c>
    </row>
    <row r="139" spans="1:86" x14ac:dyDescent="0.25">
      <c r="A139" s="2"/>
      <c r="B139" s="2"/>
      <c r="C139" s="2"/>
      <c r="D139" s="2"/>
      <c r="E139" s="2"/>
      <c r="F139" s="2"/>
      <c r="G139" s="2"/>
      <c r="O139" s="2"/>
      <c r="P139" s="2"/>
      <c r="Q139" s="2"/>
      <c r="R139" s="2"/>
      <c r="S139" s="2"/>
      <c r="T139" s="2"/>
      <c r="U139" s="2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G139" s="10">
        <v>0</v>
      </c>
      <c r="BH139" s="10">
        <v>0</v>
      </c>
      <c r="BI139" s="10">
        <v>1</v>
      </c>
      <c r="BJ139" s="10">
        <v>1</v>
      </c>
      <c r="BK139" s="10">
        <v>0</v>
      </c>
      <c r="BL139" s="10">
        <v>0</v>
      </c>
      <c r="BM139" s="10">
        <v>0</v>
      </c>
      <c r="BN139" s="11" t="str">
        <f>BIN2HEX(BG145&amp;BG144&amp;BG143&amp;BG142&amp;BG141&amp;BG140&amp;BG139)</f>
        <v>0</v>
      </c>
      <c r="BO139" s="11" t="str">
        <f>BIN2HEX(BH145&amp;BH144&amp;BH143&amp;BH142&amp;BH141&amp;BH140&amp;BH139)</f>
        <v>0</v>
      </c>
      <c r="BP139" s="11" t="str">
        <f t="shared" ref="BP139" si="380">BIN2HEX(BI145&amp;BI144&amp;BI143&amp;BI142&amp;BI141&amp;BI140&amp;BI139)</f>
        <v>3F</v>
      </c>
      <c r="BQ139" s="11" t="str">
        <f t="shared" ref="BQ139" si="381">BIN2HEX(BJ145&amp;BJ144&amp;BJ143&amp;BJ142&amp;BJ141&amp;BJ140&amp;BJ139)</f>
        <v>21</v>
      </c>
      <c r="BR139" s="11" t="str">
        <f t="shared" ref="BR139" si="382">BIN2HEX(BK145&amp;BK144&amp;BK143&amp;BK142&amp;BK141&amp;BK140&amp;BK139)</f>
        <v>0</v>
      </c>
      <c r="BS139" s="11" t="str">
        <f t="shared" ref="BS139" si="383">BIN2HEX(BL145&amp;BL144&amp;BL143&amp;BL142&amp;BL141&amp;BL140&amp;BL139)</f>
        <v>0</v>
      </c>
      <c r="BT139" s="11" t="str">
        <f t="shared" ref="BT139" si="384">BIN2HEX(BM145&amp;BM144&amp;BM143&amp;BM142&amp;BM141&amp;BM140&amp;BM139)</f>
        <v>0</v>
      </c>
      <c r="BU139" s="10">
        <v>0</v>
      </c>
      <c r="BV139" s="10">
        <v>0</v>
      </c>
      <c r="BW139" s="10">
        <v>1</v>
      </c>
      <c r="BX139" s="10">
        <v>0</v>
      </c>
      <c r="BY139" s="10">
        <v>0</v>
      </c>
      <c r="BZ139" s="10">
        <v>0</v>
      </c>
      <c r="CA139" s="10">
        <v>0</v>
      </c>
      <c r="CB139" s="11" t="str">
        <f>BIN2HEX(BU145&amp;BU144&amp;BU143&amp;BU142&amp;BU141&amp;BU140&amp;BU139)</f>
        <v>0</v>
      </c>
      <c r="CC139" s="11" t="str">
        <f>BIN2HEX(BV145&amp;BV144&amp;BV143&amp;BV142&amp;BV141&amp;BV140&amp;BV139)</f>
        <v>0</v>
      </c>
      <c r="CD139" s="11" t="str">
        <f t="shared" ref="CD139" si="385">BIN2HEX(BW145&amp;BW144&amp;BW143&amp;BW142&amp;BW141&amp;BW140&amp;BW139)</f>
        <v>3</v>
      </c>
      <c r="CE139" s="11" t="str">
        <f t="shared" ref="CE139" si="386">BIN2HEX(BX145&amp;BX144&amp;BX143&amp;BX142&amp;BX141&amp;BX140&amp;BX139)</f>
        <v>C</v>
      </c>
      <c r="CF139" s="11" t="str">
        <f t="shared" ref="CF139" si="387">BIN2HEX(BY145&amp;BY144&amp;BY143&amp;BY142&amp;BY141&amp;BY140&amp;BY139)</f>
        <v>30</v>
      </c>
      <c r="CG139" s="11" t="str">
        <f t="shared" ref="CG139" si="388">BIN2HEX(BZ145&amp;BZ144&amp;BZ143&amp;BZ142&amp;BZ141&amp;BZ140&amp;BZ139)</f>
        <v>0</v>
      </c>
      <c r="CH139" s="11" t="str">
        <f t="shared" ref="CH139" si="389">BIN2HEX(CA145&amp;CA144&amp;CA143&amp;CA142&amp;CA141&amp;CA140&amp;CA139)</f>
        <v>0</v>
      </c>
    </row>
    <row r="140" spans="1:86" x14ac:dyDescent="0.25">
      <c r="A140" s="2"/>
      <c r="B140" s="2"/>
      <c r="C140" s="2"/>
      <c r="D140" s="2"/>
      <c r="E140" s="2"/>
      <c r="F140" s="2"/>
      <c r="G140" s="2"/>
      <c r="H140" s="46"/>
      <c r="I140" s="47"/>
      <c r="J140" s="47"/>
      <c r="K140" s="47"/>
      <c r="L140" s="47"/>
      <c r="M140" s="47"/>
      <c r="N140" s="47"/>
      <c r="O140" s="2"/>
      <c r="P140" s="2"/>
      <c r="Q140" s="2"/>
      <c r="R140" s="2"/>
      <c r="S140" s="2"/>
      <c r="T140" s="2"/>
      <c r="U140" s="2"/>
      <c r="V140" s="46"/>
      <c r="W140" s="47"/>
      <c r="X140" s="47"/>
      <c r="Y140" s="47"/>
      <c r="Z140" s="47"/>
      <c r="AA140" s="47"/>
      <c r="AB140" s="47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  <c r="BC140" s="35"/>
      <c r="BD140" s="35"/>
      <c r="BG140" s="12">
        <v>0</v>
      </c>
      <c r="BH140" s="12">
        <v>0</v>
      </c>
      <c r="BI140" s="12">
        <v>1</v>
      </c>
      <c r="BJ140" s="12">
        <v>0</v>
      </c>
      <c r="BK140" s="12">
        <v>0</v>
      </c>
      <c r="BL140" s="12">
        <v>0</v>
      </c>
      <c r="BM140" s="12">
        <v>0</v>
      </c>
      <c r="BN140" s="34" t="str">
        <f>"0x"&amp;BN139&amp;", 0x"&amp;BO139&amp;", 0x"&amp;BP139&amp;", 0x"&amp;BQ139&amp;", 0x"&amp;BR139&amp;", 0x"&amp;BS139&amp;", 0x"&amp;BT139</f>
        <v>0x0, 0x0, 0x3F, 0x21, 0x0, 0x0, 0x0</v>
      </c>
      <c r="BO140" s="35"/>
      <c r="BP140" s="35"/>
      <c r="BQ140" s="35"/>
      <c r="BR140" s="35"/>
      <c r="BS140" s="35"/>
      <c r="BT140" s="35"/>
      <c r="BU140" s="12">
        <v>0</v>
      </c>
      <c r="BV140" s="10">
        <v>0</v>
      </c>
      <c r="BW140" s="10">
        <v>1</v>
      </c>
      <c r="BX140" s="10">
        <v>0</v>
      </c>
      <c r="BY140" s="10">
        <v>0</v>
      </c>
      <c r="BZ140" s="10">
        <v>0</v>
      </c>
      <c r="CA140" s="12">
        <v>0</v>
      </c>
      <c r="CB140" s="34" t="str">
        <f>"0x"&amp;CB139&amp;", 0x"&amp;CC139&amp;", 0x"&amp;CD139&amp;", 0x"&amp;CE139&amp;", 0x"&amp;CF139&amp;", 0x"&amp;CG139&amp;", 0x"&amp;CH139</f>
        <v>0x0, 0x0, 0x3, 0xC, 0x30, 0x0, 0x0</v>
      </c>
      <c r="CC140" s="35"/>
      <c r="CD140" s="35"/>
      <c r="CE140" s="35"/>
      <c r="CF140" s="35"/>
      <c r="CG140" s="35"/>
      <c r="CH140" s="35"/>
    </row>
    <row r="141" spans="1:86" x14ac:dyDescent="0.25">
      <c r="A141" s="2"/>
      <c r="B141" s="2"/>
      <c r="C141" s="2"/>
      <c r="D141" s="2"/>
      <c r="E141" s="2"/>
      <c r="F141" s="2"/>
      <c r="G141" s="2"/>
      <c r="H141" s="46"/>
      <c r="I141" s="47"/>
      <c r="J141" s="47"/>
      <c r="K141" s="47"/>
      <c r="L141" s="47"/>
      <c r="M141" s="47"/>
      <c r="N141" s="47"/>
      <c r="O141" s="2"/>
      <c r="P141" s="2"/>
      <c r="Q141" s="2"/>
      <c r="R141" s="2"/>
      <c r="S141" s="2"/>
      <c r="T141" s="2"/>
      <c r="U141" s="2"/>
      <c r="V141" s="46"/>
      <c r="W141" s="47"/>
      <c r="X141" s="47"/>
      <c r="Y141" s="47"/>
      <c r="Z141" s="47"/>
      <c r="AA141" s="47"/>
      <c r="AB141" s="47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  <c r="BC141" s="35"/>
      <c r="BD141" s="35"/>
      <c r="BG141" s="12">
        <v>0</v>
      </c>
      <c r="BH141" s="12">
        <v>0</v>
      </c>
      <c r="BI141" s="12">
        <v>1</v>
      </c>
      <c r="BJ141" s="12">
        <v>0</v>
      </c>
      <c r="BK141" s="12">
        <v>0</v>
      </c>
      <c r="BL141" s="12">
        <v>0</v>
      </c>
      <c r="BM141" s="12">
        <v>0</v>
      </c>
      <c r="BN141" s="34"/>
      <c r="BO141" s="35"/>
      <c r="BP141" s="35"/>
      <c r="BQ141" s="35"/>
      <c r="BR141" s="35"/>
      <c r="BS141" s="35"/>
      <c r="BT141" s="35"/>
      <c r="BU141" s="12">
        <v>0</v>
      </c>
      <c r="BV141" s="10">
        <v>0</v>
      </c>
      <c r="BW141" s="10">
        <v>0</v>
      </c>
      <c r="BX141" s="10">
        <v>1</v>
      </c>
      <c r="BY141" s="10">
        <v>0</v>
      </c>
      <c r="BZ141" s="10">
        <v>0</v>
      </c>
      <c r="CA141" s="12">
        <v>0</v>
      </c>
      <c r="CB141" s="34"/>
      <c r="CC141" s="35"/>
      <c r="CD141" s="35"/>
      <c r="CE141" s="35"/>
      <c r="CF141" s="35"/>
      <c r="CG141" s="35"/>
      <c r="CH141" s="35"/>
    </row>
    <row r="142" spans="1:86" x14ac:dyDescent="0.25">
      <c r="A142" s="2"/>
      <c r="B142" s="2"/>
      <c r="C142" s="2"/>
      <c r="D142" s="2"/>
      <c r="E142" s="2"/>
      <c r="F142" s="2"/>
      <c r="G142" s="2"/>
      <c r="H142" s="48"/>
      <c r="I142" s="49"/>
      <c r="J142" s="49"/>
      <c r="K142" s="49"/>
      <c r="L142" s="49"/>
      <c r="M142" s="49"/>
      <c r="N142" s="49"/>
      <c r="O142" s="2"/>
      <c r="P142" s="2"/>
      <c r="Q142" s="2"/>
      <c r="R142" s="2"/>
      <c r="S142" s="2"/>
      <c r="T142" s="2"/>
      <c r="U142" s="2"/>
      <c r="V142" s="50"/>
      <c r="W142" s="49"/>
      <c r="X142" s="49"/>
      <c r="Y142" s="49"/>
      <c r="Z142" s="49"/>
      <c r="AA142" s="49"/>
      <c r="AB142" s="49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5"/>
      <c r="BC142" s="35"/>
      <c r="BD142" s="35"/>
      <c r="BG142" s="12">
        <v>0</v>
      </c>
      <c r="BH142" s="12">
        <v>0</v>
      </c>
      <c r="BI142" s="12">
        <v>1</v>
      </c>
      <c r="BJ142" s="12">
        <v>0</v>
      </c>
      <c r="BK142" s="12">
        <v>0</v>
      </c>
      <c r="BL142" s="12">
        <v>0</v>
      </c>
      <c r="BM142" s="12">
        <v>0</v>
      </c>
      <c r="BN142" s="36" t="s">
        <v>82</v>
      </c>
      <c r="BO142" s="37"/>
      <c r="BP142" s="37"/>
      <c r="BQ142" s="37"/>
      <c r="BR142" s="37"/>
      <c r="BS142" s="37"/>
      <c r="BT142" s="37"/>
      <c r="BU142" s="12">
        <v>0</v>
      </c>
      <c r="BV142" s="10">
        <v>0</v>
      </c>
      <c r="BW142" s="10">
        <v>0</v>
      </c>
      <c r="BX142" s="10">
        <v>1</v>
      </c>
      <c r="BY142" s="10">
        <v>0</v>
      </c>
      <c r="BZ142" s="10">
        <v>0</v>
      </c>
      <c r="CA142" s="12">
        <v>0</v>
      </c>
      <c r="CB142" s="36" t="s">
        <v>83</v>
      </c>
      <c r="CC142" s="37"/>
      <c r="CD142" s="37"/>
      <c r="CE142" s="37"/>
      <c r="CF142" s="37"/>
      <c r="CG142" s="37"/>
      <c r="CH142" s="37"/>
    </row>
    <row r="143" spans="1:86" x14ac:dyDescent="0.25">
      <c r="A143" s="2"/>
      <c r="B143" s="2"/>
      <c r="C143" s="2"/>
      <c r="D143" s="2"/>
      <c r="E143" s="2"/>
      <c r="F143" s="2"/>
      <c r="G143" s="2"/>
      <c r="H143" s="30"/>
      <c r="I143" s="35"/>
      <c r="J143" s="35"/>
      <c r="K143" s="35"/>
      <c r="L143" s="35"/>
      <c r="M143" s="35"/>
      <c r="N143" s="35"/>
      <c r="O143" s="2"/>
      <c r="P143" s="2"/>
      <c r="Q143" s="2"/>
      <c r="R143" s="2"/>
      <c r="S143" s="2"/>
      <c r="T143" s="2"/>
      <c r="U143" s="2"/>
      <c r="V143" s="30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  <c r="BC143" s="35"/>
      <c r="BD143" s="35"/>
      <c r="BG143" s="12">
        <v>0</v>
      </c>
      <c r="BH143" s="12">
        <v>0</v>
      </c>
      <c r="BI143" s="12">
        <v>1</v>
      </c>
      <c r="BJ143" s="12">
        <v>0</v>
      </c>
      <c r="BK143" s="12">
        <v>0</v>
      </c>
      <c r="BL143" s="12">
        <v>0</v>
      </c>
      <c r="BM143" s="12">
        <v>0</v>
      </c>
      <c r="BN143" s="30" t="str">
        <f>"{{"&amp;BN140&amp;"}"&amp;", "&amp;$H$1&amp;"},  //"&amp;BN142&amp;":"&amp;BR138&amp;":"&amp;BT138</f>
        <v>{{0x0, 0x0, 0x3F, 0x21, 0x0, 0x0, 0x0}, 7},  //[:0:91</v>
      </c>
      <c r="BO143" s="35"/>
      <c r="BP143" s="35"/>
      <c r="BQ143" s="35"/>
      <c r="BR143" s="35"/>
      <c r="BS143" s="35"/>
      <c r="BT143" s="35"/>
      <c r="BU143" s="12">
        <v>0</v>
      </c>
      <c r="BV143" s="10">
        <v>0</v>
      </c>
      <c r="BW143" s="10">
        <v>0</v>
      </c>
      <c r="BX143" s="10">
        <v>0</v>
      </c>
      <c r="BY143" s="10">
        <v>1</v>
      </c>
      <c r="BZ143" s="10">
        <v>0</v>
      </c>
      <c r="CA143" s="12">
        <v>0</v>
      </c>
      <c r="CB143" s="30" t="str">
        <f>"{{"&amp;CB140&amp;"}"&amp;", "&amp;$H$1&amp;"},  //"&amp;CB142&amp;":"&amp;CF138&amp;":"&amp;CH138</f>
        <v>{{0x0, 0x0, 0x3, 0xC, 0x30, 0x0, 0x0}, 7},  //\:0:92</v>
      </c>
      <c r="CC143" s="35"/>
      <c r="CD143" s="35"/>
      <c r="CE143" s="35"/>
      <c r="CF143" s="35"/>
      <c r="CG143" s="35"/>
      <c r="CH143" s="35"/>
    </row>
    <row r="144" spans="1:86" x14ac:dyDescent="0.25">
      <c r="A144" s="2"/>
      <c r="B144" s="2"/>
      <c r="C144" s="2"/>
      <c r="D144" s="2"/>
      <c r="E144" s="2"/>
      <c r="F144" s="2"/>
      <c r="G144" s="2"/>
      <c r="H144" s="30"/>
      <c r="I144" s="35"/>
      <c r="J144" s="35"/>
      <c r="K144" s="35"/>
      <c r="L144" s="35"/>
      <c r="M144" s="35"/>
      <c r="N144" s="35"/>
      <c r="O144" s="2"/>
      <c r="P144" s="2"/>
      <c r="Q144" s="2"/>
      <c r="R144" s="2"/>
      <c r="S144" s="2"/>
      <c r="T144" s="2"/>
      <c r="U144" s="2"/>
      <c r="V144" s="30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35"/>
      <c r="BD144" s="35"/>
      <c r="BG144" s="12">
        <v>0</v>
      </c>
      <c r="BH144" s="12">
        <v>0</v>
      </c>
      <c r="BI144" s="12">
        <v>1</v>
      </c>
      <c r="BJ144" s="12">
        <v>1</v>
      </c>
      <c r="BK144" s="12">
        <v>0</v>
      </c>
      <c r="BL144" s="12">
        <v>0</v>
      </c>
      <c r="BM144" s="12">
        <v>0</v>
      </c>
      <c r="BN144" s="30"/>
      <c r="BO144" s="35"/>
      <c r="BP144" s="35"/>
      <c r="BQ144" s="35"/>
      <c r="BR144" s="35"/>
      <c r="BS144" s="35"/>
      <c r="BT144" s="35"/>
      <c r="BU144" s="12">
        <v>0</v>
      </c>
      <c r="BV144" s="10">
        <v>0</v>
      </c>
      <c r="BW144" s="10">
        <v>0</v>
      </c>
      <c r="BX144" s="10">
        <v>0</v>
      </c>
      <c r="BY144" s="10">
        <v>1</v>
      </c>
      <c r="BZ144" s="10">
        <v>0</v>
      </c>
      <c r="CA144" s="12">
        <v>0</v>
      </c>
      <c r="CB144" s="30"/>
      <c r="CC144" s="35"/>
      <c r="CD144" s="35"/>
      <c r="CE144" s="35"/>
      <c r="CF144" s="35"/>
      <c r="CG144" s="35"/>
      <c r="CH144" s="35"/>
    </row>
    <row r="145" spans="1:86" x14ac:dyDescent="0.25">
      <c r="A145" s="2"/>
      <c r="B145" s="2"/>
      <c r="C145" s="2"/>
      <c r="D145" s="2"/>
      <c r="E145" s="2"/>
      <c r="F145" s="2"/>
      <c r="G145" s="2"/>
      <c r="O145" s="2"/>
      <c r="P145" s="2"/>
      <c r="Q145" s="2"/>
      <c r="R145" s="2"/>
      <c r="S145" s="2"/>
      <c r="T145" s="2"/>
      <c r="U145" s="2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  <c r="BC145" s="35"/>
      <c r="BD145" s="35"/>
      <c r="BG145" s="12">
        <v>0</v>
      </c>
      <c r="BH145" s="12">
        <v>0</v>
      </c>
      <c r="BI145" s="12">
        <v>0</v>
      </c>
      <c r="BJ145" s="12">
        <v>0</v>
      </c>
      <c r="BK145" s="12">
        <v>0</v>
      </c>
      <c r="BL145" s="12">
        <v>0</v>
      </c>
      <c r="BM145" s="12">
        <v>0</v>
      </c>
      <c r="BN145" s="36" t="s">
        <v>48</v>
      </c>
      <c r="BO145" s="37"/>
      <c r="BP145" s="37"/>
      <c r="BQ145" s="37"/>
      <c r="BR145" s="38"/>
      <c r="BS145" s="38"/>
      <c r="BT145" s="26"/>
      <c r="BU145" s="13">
        <v>0</v>
      </c>
      <c r="BV145" s="13">
        <v>0</v>
      </c>
      <c r="BW145" s="13">
        <v>0</v>
      </c>
      <c r="BX145" s="13">
        <v>0</v>
      </c>
      <c r="BY145" s="13">
        <v>0</v>
      </c>
      <c r="BZ145" s="13">
        <v>0</v>
      </c>
      <c r="CA145" s="12">
        <v>0</v>
      </c>
      <c r="CB145" s="36" t="s">
        <v>48</v>
      </c>
      <c r="CC145" s="37"/>
      <c r="CD145" s="37"/>
      <c r="CE145" s="37"/>
      <c r="CF145" s="38"/>
      <c r="CG145" s="38"/>
      <c r="CH145" s="26"/>
    </row>
    <row r="146" spans="1:86" x14ac:dyDescent="0.25">
      <c r="A146" s="6"/>
      <c r="B146" s="6"/>
      <c r="C146" s="6"/>
      <c r="D146" s="6"/>
      <c r="E146" s="6"/>
      <c r="F146" s="6"/>
      <c r="G146" s="6"/>
      <c r="H146" s="44"/>
      <c r="I146" s="44"/>
      <c r="J146" s="44"/>
      <c r="K146" s="44"/>
      <c r="L146" s="45"/>
      <c r="M146" s="45"/>
      <c r="N146" s="16"/>
      <c r="O146" s="6"/>
      <c r="P146" s="6"/>
      <c r="Q146" s="6"/>
      <c r="R146" s="6"/>
      <c r="S146" s="6"/>
      <c r="T146" s="6"/>
      <c r="U146" s="6"/>
      <c r="V146" s="44"/>
      <c r="W146" s="44"/>
      <c r="X146" s="44"/>
      <c r="Y146" s="44"/>
      <c r="Z146" s="45"/>
      <c r="AA146" s="45"/>
      <c r="AB146" s="16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35"/>
      <c r="BD146" s="35"/>
      <c r="BG146" s="27">
        <v>1</v>
      </c>
      <c r="BH146" s="27">
        <v>2</v>
      </c>
      <c r="BI146" s="27">
        <v>3</v>
      </c>
      <c r="BJ146" s="27">
        <v>4</v>
      </c>
      <c r="BK146" s="27">
        <v>5</v>
      </c>
      <c r="BL146" s="27">
        <v>6</v>
      </c>
      <c r="BM146" s="27">
        <v>7</v>
      </c>
      <c r="BN146" s="39" t="s">
        <v>0</v>
      </c>
      <c r="BO146" s="39"/>
      <c r="BP146" s="39"/>
      <c r="BQ146" s="39"/>
      <c r="BR146" s="40">
        <v>0</v>
      </c>
      <c r="BS146" s="40"/>
      <c r="BT146" s="27">
        <v>93</v>
      </c>
      <c r="BU146" s="27">
        <v>1</v>
      </c>
      <c r="BV146" s="27">
        <v>2</v>
      </c>
      <c r="BW146" s="27">
        <v>3</v>
      </c>
      <c r="BX146" s="27">
        <v>4</v>
      </c>
      <c r="BY146" s="27">
        <v>5</v>
      </c>
      <c r="BZ146" s="27">
        <v>6</v>
      </c>
      <c r="CA146" s="27">
        <v>7</v>
      </c>
      <c r="CB146" s="39" t="s">
        <v>0</v>
      </c>
      <c r="CC146" s="39"/>
      <c r="CD146" s="39"/>
      <c r="CE146" s="39"/>
      <c r="CF146" s="40">
        <v>0</v>
      </c>
      <c r="CG146" s="40"/>
      <c r="CH146" s="27">
        <v>94</v>
      </c>
    </row>
    <row r="147" spans="1:86" x14ac:dyDescent="0.25">
      <c r="A147" s="2"/>
      <c r="B147" s="2"/>
      <c r="C147" s="2"/>
      <c r="D147" s="2"/>
      <c r="E147" s="2"/>
      <c r="F147" s="2"/>
      <c r="G147" s="2"/>
      <c r="O147" s="2"/>
      <c r="P147" s="2"/>
      <c r="Q147" s="2"/>
      <c r="R147" s="2"/>
      <c r="S147" s="2"/>
      <c r="T147" s="2"/>
      <c r="U147" s="2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35"/>
      <c r="BD147" s="35"/>
      <c r="BG147" s="10">
        <v>0</v>
      </c>
      <c r="BH147" s="10">
        <v>0</v>
      </c>
      <c r="BI147" s="10">
        <v>0</v>
      </c>
      <c r="BJ147" s="10">
        <v>1</v>
      </c>
      <c r="BK147" s="10">
        <v>1</v>
      </c>
      <c r="BL147" s="10">
        <v>0</v>
      </c>
      <c r="BM147" s="10">
        <v>0</v>
      </c>
      <c r="BN147" s="11" t="str">
        <f>BIN2HEX(BG153&amp;BG152&amp;BG151&amp;BG150&amp;BG149&amp;BG148&amp;BG147)</f>
        <v>0</v>
      </c>
      <c r="BO147" s="11" t="str">
        <f>BIN2HEX(BH153&amp;BH152&amp;BH151&amp;BH150&amp;BH149&amp;BH148&amp;BH147)</f>
        <v>0</v>
      </c>
      <c r="BP147" s="11" t="str">
        <f t="shared" ref="BP147" si="390">BIN2HEX(BI153&amp;BI152&amp;BI151&amp;BI150&amp;BI149&amp;BI148&amp;BI147)</f>
        <v>0</v>
      </c>
      <c r="BQ147" s="11" t="str">
        <f>BIN2HEX(BJ153&amp;BJ152&amp;BJ151&amp;BJ150&amp;BJ149&amp;BJ148&amp;BJ147)</f>
        <v>21</v>
      </c>
      <c r="BR147" s="11" t="str">
        <f>BIN2HEX(BK153&amp;BK152&amp;BK151&amp;BK150&amp;BK149&amp;BK148&amp;BK147)</f>
        <v>3F</v>
      </c>
      <c r="BS147" s="11" t="str">
        <f t="shared" ref="BS147" si="391">BIN2HEX(BL153&amp;BL152&amp;BL151&amp;BL150&amp;BL149&amp;BL148&amp;BL147)</f>
        <v>0</v>
      </c>
      <c r="BT147" s="11" t="str">
        <f t="shared" ref="BT147" si="392">BIN2HEX(BM153&amp;BM152&amp;BM151&amp;BM150&amp;BM149&amp;BM148&amp;BM147)</f>
        <v>0</v>
      </c>
      <c r="BU147" s="10">
        <v>0</v>
      </c>
      <c r="BV147" s="10">
        <v>0</v>
      </c>
      <c r="BW147" s="10">
        <v>0</v>
      </c>
      <c r="BX147" s="10">
        <v>1</v>
      </c>
      <c r="BY147" s="10">
        <v>0</v>
      </c>
      <c r="BZ147" s="10">
        <v>0</v>
      </c>
      <c r="CA147" s="10">
        <v>0</v>
      </c>
      <c r="CB147" s="11" t="str">
        <f>BIN2HEX(BU153&amp;BU152&amp;BU151&amp;BU150&amp;BU149&amp;BU148&amp;BU147)</f>
        <v>0</v>
      </c>
      <c r="CC147" s="11" t="str">
        <f>BIN2HEX(BV153&amp;BV152&amp;BV151&amp;BV150&amp;BV149&amp;BV148&amp;BV147)</f>
        <v>4</v>
      </c>
      <c r="CD147" s="11" t="str">
        <f t="shared" ref="CD147" si="393">BIN2HEX(BW153&amp;BW152&amp;BW151&amp;BW150&amp;BW149&amp;BW148&amp;BW147)</f>
        <v>2</v>
      </c>
      <c r="CE147" s="11" t="str">
        <f t="shared" ref="CE147" si="394">BIN2HEX(BX153&amp;BX152&amp;BX151&amp;BX150&amp;BX149&amp;BX148&amp;BX147)</f>
        <v>1</v>
      </c>
      <c r="CF147" s="11" t="str">
        <f t="shared" ref="CF147" si="395">BIN2HEX(BY153&amp;BY152&amp;BY151&amp;BY150&amp;BY149&amp;BY148&amp;BY147)</f>
        <v>2</v>
      </c>
      <c r="CG147" s="11" t="str">
        <f t="shared" ref="CG147" si="396">BIN2HEX(BZ153&amp;BZ152&amp;BZ151&amp;BZ150&amp;BZ149&amp;BZ148&amp;BZ147)</f>
        <v>4</v>
      </c>
      <c r="CH147" s="11" t="str">
        <f t="shared" ref="CH147" si="397">BIN2HEX(CA153&amp;CA152&amp;CA151&amp;CA150&amp;CA149&amp;CA148&amp;CA147)</f>
        <v>0</v>
      </c>
    </row>
    <row r="148" spans="1:86" x14ac:dyDescent="0.25">
      <c r="B148" s="2"/>
      <c r="H148" s="46"/>
      <c r="I148" s="47"/>
      <c r="J148" s="47"/>
      <c r="K148" s="47"/>
      <c r="L148" s="47"/>
      <c r="M148" s="47"/>
      <c r="N148" s="47"/>
      <c r="O148" s="2"/>
      <c r="P148" s="2"/>
      <c r="Q148" s="2"/>
      <c r="R148" s="2"/>
      <c r="S148" s="2"/>
      <c r="T148" s="2"/>
      <c r="U148" s="2"/>
      <c r="V148" s="46"/>
      <c r="W148" s="47"/>
      <c r="X148" s="47"/>
      <c r="Y148" s="47"/>
      <c r="Z148" s="47"/>
      <c r="AA148" s="47"/>
      <c r="AB148" s="47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  <c r="BD148" s="35"/>
      <c r="BG148" s="12">
        <v>0</v>
      </c>
      <c r="BH148" s="10">
        <v>0</v>
      </c>
      <c r="BI148" s="10">
        <v>0</v>
      </c>
      <c r="BJ148" s="10">
        <v>0</v>
      </c>
      <c r="BK148" s="10">
        <v>1</v>
      </c>
      <c r="BL148" s="12">
        <v>0</v>
      </c>
      <c r="BM148" s="12">
        <v>0</v>
      </c>
      <c r="BN148" s="34" t="str">
        <f>"0x"&amp;BN147&amp;", 0x"&amp;BO147&amp;", 0x"&amp;BP147&amp;", 0x"&amp;BQ147&amp;", 0x"&amp;BR147&amp;", 0x"&amp;BS147&amp;", 0x"&amp;BT147</f>
        <v>0x0, 0x0, 0x0, 0x21, 0x3F, 0x0, 0x0</v>
      </c>
      <c r="BO148" s="35"/>
      <c r="BP148" s="35"/>
      <c r="BQ148" s="35"/>
      <c r="BR148" s="35"/>
      <c r="BS148" s="35"/>
      <c r="BT148" s="35"/>
      <c r="BU148" s="12">
        <v>0</v>
      </c>
      <c r="BV148" s="12">
        <v>0</v>
      </c>
      <c r="BW148" s="12">
        <v>1</v>
      </c>
      <c r="BX148" s="12">
        <v>0</v>
      </c>
      <c r="BY148" s="12">
        <v>1</v>
      </c>
      <c r="BZ148" s="12">
        <v>0</v>
      </c>
      <c r="CA148" s="12">
        <v>0</v>
      </c>
      <c r="CB148" s="34" t="str">
        <f>"0x"&amp;CB147&amp;", 0x"&amp;CC147&amp;", 0x"&amp;CD147&amp;", 0x"&amp;CE147&amp;", 0x"&amp;CF147&amp;", 0x"&amp;CG147&amp;", 0x"&amp;CH147</f>
        <v>0x0, 0x4, 0x2, 0x1, 0x2, 0x4, 0x0</v>
      </c>
      <c r="CC148" s="35"/>
      <c r="CD148" s="35"/>
      <c r="CE148" s="35"/>
      <c r="CF148" s="35"/>
      <c r="CG148" s="35"/>
      <c r="CH148" s="35"/>
    </row>
    <row r="149" spans="1:86" x14ac:dyDescent="0.25">
      <c r="B149" s="2"/>
      <c r="H149" s="46"/>
      <c r="I149" s="47"/>
      <c r="J149" s="47"/>
      <c r="K149" s="47"/>
      <c r="L149" s="47"/>
      <c r="M149" s="47"/>
      <c r="N149" s="47"/>
      <c r="O149" s="2"/>
      <c r="P149" s="2"/>
      <c r="Q149" s="2"/>
      <c r="R149" s="2"/>
      <c r="S149" s="2"/>
      <c r="T149" s="2"/>
      <c r="U149" s="2"/>
      <c r="V149" s="46"/>
      <c r="W149" s="47"/>
      <c r="X149" s="47"/>
      <c r="Y149" s="47"/>
      <c r="Z149" s="47"/>
      <c r="AA149" s="47"/>
      <c r="AB149" s="47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35"/>
      <c r="BD149" s="35"/>
      <c r="BG149" s="12">
        <v>0</v>
      </c>
      <c r="BH149" s="10">
        <v>0</v>
      </c>
      <c r="BI149" s="10">
        <v>0</v>
      </c>
      <c r="BJ149" s="10">
        <v>0</v>
      </c>
      <c r="BK149" s="10">
        <v>1</v>
      </c>
      <c r="BL149" s="12">
        <v>0</v>
      </c>
      <c r="BM149" s="12">
        <v>0</v>
      </c>
      <c r="BN149" s="34"/>
      <c r="BO149" s="35"/>
      <c r="BP149" s="35"/>
      <c r="BQ149" s="35"/>
      <c r="BR149" s="35"/>
      <c r="BS149" s="35"/>
      <c r="BT149" s="35"/>
      <c r="BU149" s="12">
        <v>0</v>
      </c>
      <c r="BV149" s="12">
        <v>1</v>
      </c>
      <c r="BW149" s="12">
        <v>0</v>
      </c>
      <c r="BX149" s="12">
        <v>0</v>
      </c>
      <c r="BY149" s="12">
        <v>0</v>
      </c>
      <c r="BZ149" s="12">
        <v>1</v>
      </c>
      <c r="CA149" s="12">
        <v>0</v>
      </c>
      <c r="CB149" s="34"/>
      <c r="CC149" s="35"/>
      <c r="CD149" s="35"/>
      <c r="CE149" s="35"/>
      <c r="CF149" s="35"/>
      <c r="CG149" s="35"/>
      <c r="CH149" s="35"/>
    </row>
    <row r="150" spans="1:86" x14ac:dyDescent="0.25">
      <c r="B150" s="2"/>
      <c r="H150" s="48"/>
      <c r="I150" s="49"/>
      <c r="J150" s="49"/>
      <c r="K150" s="49"/>
      <c r="L150" s="49"/>
      <c r="M150" s="49"/>
      <c r="N150" s="49"/>
      <c r="O150" s="2"/>
      <c r="P150" s="2"/>
      <c r="Q150" s="2"/>
      <c r="R150" s="2"/>
      <c r="S150" s="2"/>
      <c r="T150" s="2"/>
      <c r="U150" s="2"/>
      <c r="V150" s="50"/>
      <c r="W150" s="49"/>
      <c r="X150" s="49"/>
      <c r="Y150" s="49"/>
      <c r="Z150" s="49"/>
      <c r="AA150" s="49"/>
      <c r="AB150" s="49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  <c r="BD150" s="35"/>
      <c r="BG150" s="12">
        <v>0</v>
      </c>
      <c r="BH150" s="10">
        <v>0</v>
      </c>
      <c r="BI150" s="10">
        <v>0</v>
      </c>
      <c r="BJ150" s="10">
        <v>0</v>
      </c>
      <c r="BK150" s="10">
        <v>1</v>
      </c>
      <c r="BL150" s="12">
        <v>0</v>
      </c>
      <c r="BM150" s="12">
        <v>0</v>
      </c>
      <c r="BN150" s="36" t="s">
        <v>84</v>
      </c>
      <c r="BO150" s="37"/>
      <c r="BP150" s="37"/>
      <c r="BQ150" s="37"/>
      <c r="BR150" s="37"/>
      <c r="BS150" s="37"/>
      <c r="BT150" s="37"/>
      <c r="BU150" s="12">
        <v>0</v>
      </c>
      <c r="BV150" s="12">
        <v>0</v>
      </c>
      <c r="BW150" s="12">
        <v>0</v>
      </c>
      <c r="BX150" s="12">
        <v>0</v>
      </c>
      <c r="BY150" s="12">
        <v>0</v>
      </c>
      <c r="BZ150" s="12">
        <v>0</v>
      </c>
      <c r="CA150" s="12">
        <v>0</v>
      </c>
      <c r="CB150" s="36" t="s">
        <v>85</v>
      </c>
      <c r="CC150" s="37"/>
      <c r="CD150" s="37"/>
      <c r="CE150" s="37"/>
      <c r="CF150" s="37"/>
      <c r="CG150" s="37"/>
      <c r="CH150" s="37"/>
    </row>
    <row r="151" spans="1:86" x14ac:dyDescent="0.25">
      <c r="B151" s="2"/>
      <c r="H151" s="30"/>
      <c r="I151" s="35"/>
      <c r="J151" s="35"/>
      <c r="K151" s="35"/>
      <c r="L151" s="35"/>
      <c r="M151" s="35"/>
      <c r="N151" s="35"/>
      <c r="O151" s="2"/>
      <c r="P151" s="2"/>
      <c r="Q151" s="2"/>
      <c r="R151" s="2"/>
      <c r="S151" s="2"/>
      <c r="T151" s="2"/>
      <c r="U151" s="2"/>
      <c r="V151" s="30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35"/>
      <c r="BD151" s="35"/>
      <c r="BG151" s="12">
        <v>0</v>
      </c>
      <c r="BH151" s="10">
        <v>0</v>
      </c>
      <c r="BI151" s="10">
        <v>0</v>
      </c>
      <c r="BJ151" s="10">
        <v>0</v>
      </c>
      <c r="BK151" s="10">
        <v>1</v>
      </c>
      <c r="BL151" s="12">
        <v>0</v>
      </c>
      <c r="BM151" s="12">
        <v>0</v>
      </c>
      <c r="BN151" s="30" t="str">
        <f>"{{"&amp;BN148&amp;"}"&amp;", "&amp;$H$1&amp;"},  //"&amp;BN150&amp;":"&amp;BR146&amp;":"&amp;BT146</f>
        <v>{{0x0, 0x0, 0x0, 0x21, 0x3F, 0x0, 0x0}, 7},  //]:0:93</v>
      </c>
      <c r="BO151" s="35"/>
      <c r="BP151" s="35"/>
      <c r="BQ151" s="35"/>
      <c r="BR151" s="35"/>
      <c r="BS151" s="35"/>
      <c r="BT151" s="35"/>
      <c r="BU151" s="12">
        <v>0</v>
      </c>
      <c r="BV151" s="12">
        <v>0</v>
      </c>
      <c r="BW151" s="12">
        <v>0</v>
      </c>
      <c r="BX151" s="12">
        <v>0</v>
      </c>
      <c r="BY151" s="12">
        <v>0</v>
      </c>
      <c r="BZ151" s="12">
        <v>0</v>
      </c>
      <c r="CA151" s="12">
        <v>0</v>
      </c>
      <c r="CB151" s="30" t="str">
        <f>"{{"&amp;CB148&amp;"}"&amp;", "&amp;$H$1&amp;"},  //"&amp;CB150&amp;":"&amp;CF146&amp;":"&amp;CH146</f>
        <v>{{0x0, 0x4, 0x2, 0x1, 0x2, 0x4, 0x0}, 7},  //^:0:94</v>
      </c>
      <c r="CC151" s="35"/>
      <c r="CD151" s="35"/>
      <c r="CE151" s="35"/>
      <c r="CF151" s="35"/>
      <c r="CG151" s="35"/>
      <c r="CH151" s="35"/>
    </row>
    <row r="152" spans="1:86" x14ac:dyDescent="0.25">
      <c r="B152" s="2"/>
      <c r="C152" s="2"/>
      <c r="D152" s="2"/>
      <c r="H152" s="30"/>
      <c r="I152" s="35"/>
      <c r="J152" s="35"/>
      <c r="K152" s="35"/>
      <c r="L152" s="35"/>
      <c r="M152" s="35"/>
      <c r="N152" s="35"/>
      <c r="O152" s="2"/>
      <c r="P152" s="2"/>
      <c r="Q152" s="2"/>
      <c r="R152" s="2"/>
      <c r="S152" s="2"/>
      <c r="T152" s="2"/>
      <c r="U152" s="2"/>
      <c r="V152" s="30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  <c r="BD152" s="35"/>
      <c r="BG152" s="12">
        <v>0</v>
      </c>
      <c r="BH152" s="10">
        <v>0</v>
      </c>
      <c r="BI152" s="10">
        <v>0</v>
      </c>
      <c r="BJ152" s="12">
        <v>1</v>
      </c>
      <c r="BK152" s="12">
        <v>1</v>
      </c>
      <c r="BL152" s="12">
        <v>0</v>
      </c>
      <c r="BM152" s="12">
        <v>0</v>
      </c>
      <c r="BN152" s="30"/>
      <c r="BO152" s="35"/>
      <c r="BP152" s="35"/>
      <c r="BQ152" s="35"/>
      <c r="BR152" s="35"/>
      <c r="BS152" s="35"/>
      <c r="BT152" s="35"/>
      <c r="BU152" s="12">
        <v>0</v>
      </c>
      <c r="BV152" s="12">
        <v>0</v>
      </c>
      <c r="BW152" s="12">
        <v>0</v>
      </c>
      <c r="BX152" s="12">
        <v>0</v>
      </c>
      <c r="BY152" s="12">
        <v>0</v>
      </c>
      <c r="BZ152" s="12">
        <v>0</v>
      </c>
      <c r="CA152" s="12">
        <v>0</v>
      </c>
      <c r="CB152" s="30"/>
      <c r="CC152" s="35"/>
      <c r="CD152" s="35"/>
      <c r="CE152" s="35"/>
      <c r="CF152" s="35"/>
      <c r="CG152" s="35"/>
      <c r="CH152" s="35"/>
    </row>
    <row r="153" spans="1:86" x14ac:dyDescent="0.25">
      <c r="B153" s="2"/>
      <c r="C153" s="2"/>
      <c r="D153" s="2"/>
      <c r="O153" s="2"/>
      <c r="P153" s="2"/>
      <c r="Q153" s="2"/>
      <c r="R153" s="2"/>
      <c r="S153" s="2"/>
      <c r="T153" s="2"/>
      <c r="U153" s="2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  <c r="BC153" s="35"/>
      <c r="BD153" s="35"/>
      <c r="BG153" s="12">
        <v>0</v>
      </c>
      <c r="BH153" s="12">
        <v>0</v>
      </c>
      <c r="BI153" s="12">
        <v>0</v>
      </c>
      <c r="BJ153" s="12">
        <v>0</v>
      </c>
      <c r="BK153" s="12">
        <v>0</v>
      </c>
      <c r="BL153" s="12">
        <v>0</v>
      </c>
      <c r="BM153" s="12">
        <v>0</v>
      </c>
      <c r="BN153" s="36" t="s">
        <v>48</v>
      </c>
      <c r="BO153" s="37"/>
      <c r="BP153" s="37"/>
      <c r="BQ153" s="37"/>
      <c r="BR153" s="38"/>
      <c r="BS153" s="38"/>
      <c r="BT153" s="26"/>
      <c r="BU153" s="13">
        <v>0</v>
      </c>
      <c r="BV153" s="13">
        <v>0</v>
      </c>
      <c r="BW153" s="13">
        <v>0</v>
      </c>
      <c r="BX153" s="13">
        <v>0</v>
      </c>
      <c r="BY153" s="13">
        <v>0</v>
      </c>
      <c r="BZ153" s="13">
        <v>0</v>
      </c>
      <c r="CA153" s="12">
        <v>0</v>
      </c>
      <c r="CB153" s="36" t="s">
        <v>48</v>
      </c>
      <c r="CC153" s="37"/>
      <c r="CD153" s="37"/>
      <c r="CE153" s="37"/>
      <c r="CF153" s="38"/>
      <c r="CG153" s="38"/>
      <c r="CH153" s="26"/>
    </row>
    <row r="154" spans="1:86" x14ac:dyDescent="0.25">
      <c r="A154" s="6"/>
      <c r="B154" s="6"/>
      <c r="C154" s="6"/>
      <c r="D154" s="6"/>
      <c r="E154" s="6"/>
      <c r="F154" s="6"/>
      <c r="G154" s="6"/>
      <c r="H154" s="44"/>
      <c r="I154" s="44"/>
      <c r="J154" s="44"/>
      <c r="K154" s="44"/>
      <c r="L154" s="45"/>
      <c r="M154" s="45"/>
      <c r="N154" s="16"/>
      <c r="O154" s="6"/>
      <c r="P154" s="6"/>
      <c r="Q154" s="6"/>
      <c r="R154" s="6"/>
      <c r="S154" s="6"/>
      <c r="T154" s="6"/>
      <c r="U154" s="6"/>
      <c r="V154" s="44"/>
      <c r="W154" s="44"/>
      <c r="X154" s="44"/>
      <c r="Y154" s="44"/>
      <c r="Z154" s="45"/>
      <c r="AA154" s="45"/>
      <c r="AB154" s="16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35"/>
      <c r="BD154" s="35"/>
      <c r="BG154" s="27">
        <v>1</v>
      </c>
      <c r="BH154" s="27">
        <v>2</v>
      </c>
      <c r="BI154" s="27">
        <v>3</v>
      </c>
      <c r="BJ154" s="27">
        <v>4</v>
      </c>
      <c r="BK154" s="27">
        <v>5</v>
      </c>
      <c r="BL154" s="27">
        <v>6</v>
      </c>
      <c r="BM154" s="27">
        <v>7</v>
      </c>
      <c r="BN154" s="39" t="s">
        <v>0</v>
      </c>
      <c r="BO154" s="39"/>
      <c r="BP154" s="39"/>
      <c r="BQ154" s="39"/>
      <c r="BR154" s="40">
        <v>0</v>
      </c>
      <c r="BS154" s="40"/>
      <c r="BT154" s="27">
        <v>95</v>
      </c>
      <c r="BU154" s="27">
        <v>1</v>
      </c>
      <c r="BV154" s="27">
        <v>2</v>
      </c>
      <c r="BW154" s="27">
        <v>3</v>
      </c>
      <c r="BX154" s="27">
        <v>4</v>
      </c>
      <c r="BY154" s="27">
        <v>5</v>
      </c>
      <c r="BZ154" s="27">
        <v>6</v>
      </c>
      <c r="CA154" s="27">
        <v>7</v>
      </c>
      <c r="CB154" s="39" t="s">
        <v>0</v>
      </c>
      <c r="CC154" s="39"/>
      <c r="CD154" s="39"/>
      <c r="CE154" s="39"/>
      <c r="CF154" s="40">
        <v>0</v>
      </c>
      <c r="CG154" s="40"/>
      <c r="CH154" s="27">
        <v>96</v>
      </c>
    </row>
    <row r="155" spans="1:86" x14ac:dyDescent="0.25">
      <c r="A155" s="2"/>
      <c r="B155" s="2"/>
      <c r="C155" s="2"/>
      <c r="D155" s="2"/>
      <c r="E155" s="2"/>
      <c r="F155" s="2"/>
      <c r="G155" s="2"/>
      <c r="O155" s="2"/>
      <c r="P155" s="2"/>
      <c r="Q155" s="2"/>
      <c r="R155" s="2"/>
      <c r="S155" s="2"/>
      <c r="T155" s="2"/>
      <c r="U155" s="2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  <c r="BC155" s="35"/>
      <c r="BD155" s="35"/>
      <c r="BG155" s="10">
        <v>0</v>
      </c>
      <c r="BH155" s="10">
        <v>0</v>
      </c>
      <c r="BI155" s="10">
        <v>0</v>
      </c>
      <c r="BJ155" s="10">
        <v>0</v>
      </c>
      <c r="BK155" s="10">
        <v>0</v>
      </c>
      <c r="BL155" s="10">
        <v>0</v>
      </c>
      <c r="BM155" s="10">
        <v>0</v>
      </c>
      <c r="BN155" s="11" t="str">
        <f>BIN2HEX(BG161&amp;BG160&amp;BG159&amp;BG158&amp;BG157&amp;BG156&amp;BG155)</f>
        <v>0</v>
      </c>
      <c r="BO155" s="11" t="str">
        <f>BIN2HEX(BH161&amp;BH160&amp;BH159&amp;BH158&amp;BH157&amp;BH156&amp;BH155)</f>
        <v>20</v>
      </c>
      <c r="BP155" s="11" t="str">
        <f t="shared" ref="BP155" si="398">BIN2HEX(BI161&amp;BI160&amp;BI159&amp;BI158&amp;BI157&amp;BI156&amp;BI155)</f>
        <v>20</v>
      </c>
      <c r="BQ155" s="11" t="str">
        <f t="shared" ref="BQ155" si="399">BIN2HEX(BJ161&amp;BJ160&amp;BJ159&amp;BJ158&amp;BJ157&amp;BJ156&amp;BJ155)</f>
        <v>20</v>
      </c>
      <c r="BR155" s="11" t="str">
        <f t="shared" ref="BR155" si="400">BIN2HEX(BK161&amp;BK160&amp;BK159&amp;BK158&amp;BK157&amp;BK156&amp;BK155)</f>
        <v>20</v>
      </c>
      <c r="BS155" s="11" t="str">
        <f t="shared" ref="BS155" si="401">BIN2HEX(BL161&amp;BL160&amp;BL159&amp;BL158&amp;BL157&amp;BL156&amp;BL155)</f>
        <v>20</v>
      </c>
      <c r="BT155" s="11" t="str">
        <f t="shared" ref="BT155" si="402">BIN2HEX(BM161&amp;BM160&amp;BM159&amp;BM158&amp;BM157&amp;BM156&amp;BM155)</f>
        <v>0</v>
      </c>
      <c r="BU155" s="10">
        <v>0</v>
      </c>
      <c r="BV155" s="10">
        <v>0</v>
      </c>
      <c r="BW155" s="10">
        <v>1</v>
      </c>
      <c r="BX155" s="10">
        <v>0</v>
      </c>
      <c r="BY155" s="10">
        <v>0</v>
      </c>
      <c r="BZ155" s="10">
        <v>0</v>
      </c>
      <c r="CA155" s="10">
        <v>0</v>
      </c>
      <c r="CB155" s="11" t="str">
        <f>BIN2HEX(BU161&amp;BU160&amp;BU159&amp;BU158&amp;BU157&amp;BU156&amp;BU155)</f>
        <v>0</v>
      </c>
      <c r="CC155" s="11" t="str">
        <f>BIN2HEX(BV161&amp;BV160&amp;BV159&amp;BV158&amp;BV157&amp;BV156&amp;BV155)</f>
        <v>0</v>
      </c>
      <c r="CD155" s="11" t="str">
        <f t="shared" ref="CD155" si="403">BIN2HEX(BW161&amp;BW160&amp;BW159&amp;BW158&amp;BW157&amp;BW156&amp;BW155)</f>
        <v>1</v>
      </c>
      <c r="CE155" s="11" t="str">
        <f t="shared" ref="CE155" si="404">BIN2HEX(BX161&amp;BX160&amp;BX159&amp;BX158&amp;BX157&amp;BX156&amp;BX155)</f>
        <v>2</v>
      </c>
      <c r="CF155" s="11" t="str">
        <f t="shared" ref="CF155" si="405">BIN2HEX(BY161&amp;BY160&amp;BY159&amp;BY158&amp;BY157&amp;BY156&amp;BY155)</f>
        <v>4</v>
      </c>
      <c r="CG155" s="11" t="str">
        <f t="shared" ref="CG155" si="406">BIN2HEX(BZ161&amp;BZ160&amp;BZ159&amp;BZ158&amp;BZ157&amp;BZ156&amp;BZ155)</f>
        <v>0</v>
      </c>
      <c r="CH155" s="11" t="str">
        <f t="shared" ref="CH155" si="407">BIN2HEX(CA161&amp;CA160&amp;CA159&amp;CA158&amp;CA157&amp;CA156&amp;CA155)</f>
        <v>0</v>
      </c>
    </row>
    <row r="156" spans="1:86" x14ac:dyDescent="0.25">
      <c r="A156" s="2"/>
      <c r="B156" s="2"/>
      <c r="C156" s="2"/>
      <c r="D156" s="2"/>
      <c r="E156" s="2"/>
      <c r="F156" s="2"/>
      <c r="G156" s="2"/>
      <c r="H156" s="46"/>
      <c r="I156" s="47"/>
      <c r="J156" s="47"/>
      <c r="K156" s="47"/>
      <c r="L156" s="47"/>
      <c r="M156" s="47"/>
      <c r="N156" s="47"/>
      <c r="P156" s="2"/>
      <c r="V156" s="46"/>
      <c r="W156" s="47"/>
      <c r="X156" s="47"/>
      <c r="Y156" s="47"/>
      <c r="Z156" s="47"/>
      <c r="AA156" s="47"/>
      <c r="AB156" s="47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  <c r="BC156" s="35"/>
      <c r="BD156" s="35"/>
      <c r="BG156" s="10">
        <v>0</v>
      </c>
      <c r="BH156" s="10">
        <v>0</v>
      </c>
      <c r="BI156" s="10">
        <v>0</v>
      </c>
      <c r="BJ156" s="10">
        <v>0</v>
      </c>
      <c r="BK156" s="10">
        <v>0</v>
      </c>
      <c r="BL156" s="10">
        <v>0</v>
      </c>
      <c r="BM156" s="10">
        <v>0</v>
      </c>
      <c r="BN156" s="34" t="str">
        <f>"0x"&amp;BN155&amp;", 0x"&amp;BO155&amp;", 0x"&amp;BP155&amp;", 0x"&amp;BQ155&amp;", 0x"&amp;BR155&amp;", 0x"&amp;BS155&amp;", 0x"&amp;BT155</f>
        <v>0x0, 0x20, 0x20, 0x20, 0x20, 0x20, 0x0</v>
      </c>
      <c r="BO156" s="35"/>
      <c r="BP156" s="35"/>
      <c r="BQ156" s="35"/>
      <c r="BR156" s="35"/>
      <c r="BS156" s="35"/>
      <c r="BT156" s="35"/>
      <c r="BU156" s="12">
        <v>0</v>
      </c>
      <c r="BV156" s="12">
        <v>0</v>
      </c>
      <c r="BW156" s="12">
        <v>0</v>
      </c>
      <c r="BX156" s="12">
        <v>1</v>
      </c>
      <c r="BY156" s="12">
        <v>0</v>
      </c>
      <c r="BZ156" s="12">
        <v>0</v>
      </c>
      <c r="CA156" s="12">
        <v>0</v>
      </c>
      <c r="CB156" s="34" t="str">
        <f>"0x"&amp;CB155&amp;", 0x"&amp;CC155&amp;", 0x"&amp;CD155&amp;", 0x"&amp;CE155&amp;", 0x"&amp;CF155&amp;", 0x"&amp;CG155&amp;", 0x"&amp;CH155</f>
        <v>0x0, 0x0, 0x1, 0x2, 0x4, 0x0, 0x0</v>
      </c>
      <c r="CC156" s="35"/>
      <c r="CD156" s="35"/>
      <c r="CE156" s="35"/>
      <c r="CF156" s="35"/>
      <c r="CG156" s="35"/>
      <c r="CH156" s="35"/>
    </row>
    <row r="157" spans="1:86" x14ac:dyDescent="0.25">
      <c r="A157" s="2"/>
      <c r="B157" s="2"/>
      <c r="C157" s="2"/>
      <c r="D157" s="2"/>
      <c r="E157" s="2"/>
      <c r="F157" s="2"/>
      <c r="G157" s="2"/>
      <c r="H157" s="46"/>
      <c r="I157" s="47"/>
      <c r="J157" s="47"/>
      <c r="K157" s="47"/>
      <c r="L157" s="47"/>
      <c r="M157" s="47"/>
      <c r="N157" s="47"/>
      <c r="P157" s="2"/>
      <c r="V157" s="46"/>
      <c r="W157" s="47"/>
      <c r="X157" s="47"/>
      <c r="Y157" s="47"/>
      <c r="Z157" s="47"/>
      <c r="AA157" s="47"/>
      <c r="AB157" s="47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35"/>
      <c r="BB157" s="35"/>
      <c r="BC157" s="35"/>
      <c r="BD157" s="35"/>
      <c r="BG157" s="10">
        <v>0</v>
      </c>
      <c r="BH157" s="10">
        <v>0</v>
      </c>
      <c r="BI157" s="10">
        <v>0</v>
      </c>
      <c r="BJ157" s="10">
        <v>0</v>
      </c>
      <c r="BK157" s="10">
        <v>0</v>
      </c>
      <c r="BL157" s="10">
        <v>0</v>
      </c>
      <c r="BM157" s="10">
        <v>0</v>
      </c>
      <c r="BN157" s="34"/>
      <c r="BO157" s="35"/>
      <c r="BP157" s="35"/>
      <c r="BQ157" s="35"/>
      <c r="BR157" s="35"/>
      <c r="BS157" s="35"/>
      <c r="BT157" s="35"/>
      <c r="BU157" s="12">
        <v>0</v>
      </c>
      <c r="BV157" s="12">
        <v>0</v>
      </c>
      <c r="BW157" s="12">
        <v>0</v>
      </c>
      <c r="BX157" s="12">
        <v>0</v>
      </c>
      <c r="BY157" s="12">
        <v>1</v>
      </c>
      <c r="BZ157" s="12">
        <v>0</v>
      </c>
      <c r="CA157" s="12">
        <v>0</v>
      </c>
      <c r="CB157" s="34"/>
      <c r="CC157" s="35"/>
      <c r="CD157" s="35"/>
      <c r="CE157" s="35"/>
      <c r="CF157" s="35"/>
      <c r="CG157" s="35"/>
      <c r="CH157" s="35"/>
    </row>
    <row r="158" spans="1:86" x14ac:dyDescent="0.25">
      <c r="A158" s="2"/>
      <c r="B158" s="2"/>
      <c r="C158" s="2"/>
      <c r="D158" s="2"/>
      <c r="E158" s="2"/>
      <c r="F158" s="2"/>
      <c r="G158" s="2"/>
      <c r="H158" s="48"/>
      <c r="I158" s="49"/>
      <c r="J158" s="49"/>
      <c r="K158" s="49"/>
      <c r="L158" s="49"/>
      <c r="M158" s="49"/>
      <c r="N158" s="49"/>
      <c r="P158" s="2"/>
      <c r="V158" s="50"/>
      <c r="W158" s="49"/>
      <c r="X158" s="49"/>
      <c r="Y158" s="49"/>
      <c r="Z158" s="49"/>
      <c r="AA158" s="49"/>
      <c r="AB158" s="49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  <c r="BD158" s="35"/>
      <c r="BG158" s="10">
        <v>0</v>
      </c>
      <c r="BH158" s="10">
        <v>0</v>
      </c>
      <c r="BI158" s="10">
        <v>0</v>
      </c>
      <c r="BJ158" s="10">
        <v>0</v>
      </c>
      <c r="BK158" s="10">
        <v>0</v>
      </c>
      <c r="BL158" s="10">
        <v>0</v>
      </c>
      <c r="BM158" s="10">
        <v>0</v>
      </c>
      <c r="BN158" s="36" t="s">
        <v>86</v>
      </c>
      <c r="BO158" s="37"/>
      <c r="BP158" s="37"/>
      <c r="BQ158" s="37"/>
      <c r="BR158" s="37"/>
      <c r="BS158" s="37"/>
      <c r="BT158" s="37"/>
      <c r="BU158" s="12">
        <v>0</v>
      </c>
      <c r="BV158" s="12">
        <v>0</v>
      </c>
      <c r="BW158" s="12">
        <v>0</v>
      </c>
      <c r="BX158" s="12">
        <v>0</v>
      </c>
      <c r="BY158" s="12">
        <v>0</v>
      </c>
      <c r="BZ158" s="12">
        <v>0</v>
      </c>
      <c r="CA158" s="12">
        <v>0</v>
      </c>
      <c r="CB158" s="36" t="s">
        <v>39</v>
      </c>
      <c r="CC158" s="37"/>
      <c r="CD158" s="37"/>
      <c r="CE158" s="37"/>
      <c r="CF158" s="37"/>
      <c r="CG158" s="37"/>
      <c r="CH158" s="37"/>
    </row>
    <row r="159" spans="1:86" x14ac:dyDescent="0.25">
      <c r="A159" s="2"/>
      <c r="B159" s="2"/>
      <c r="C159" s="2"/>
      <c r="D159" s="2"/>
      <c r="E159" s="2"/>
      <c r="F159" s="2"/>
      <c r="G159" s="2"/>
      <c r="H159" s="30"/>
      <c r="I159" s="35"/>
      <c r="J159" s="35"/>
      <c r="K159" s="35"/>
      <c r="L159" s="35"/>
      <c r="M159" s="35"/>
      <c r="N159" s="35"/>
      <c r="P159" s="2"/>
      <c r="V159" s="30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  <c r="BD159" s="35"/>
      <c r="BG159" s="10">
        <v>0</v>
      </c>
      <c r="BH159" s="10">
        <v>0</v>
      </c>
      <c r="BI159" s="10">
        <v>0</v>
      </c>
      <c r="BJ159" s="10">
        <v>0</v>
      </c>
      <c r="BK159" s="10">
        <v>0</v>
      </c>
      <c r="BL159" s="10">
        <v>0</v>
      </c>
      <c r="BM159" s="10">
        <v>0</v>
      </c>
      <c r="BN159" s="30" t="str">
        <f>"{{"&amp;BN156&amp;"}"&amp;", "&amp;$H$1&amp;"},  //"&amp;BN158&amp;":"&amp;BR154&amp;":"&amp;BT154</f>
        <v>{{0x0, 0x20, 0x20, 0x20, 0x20, 0x20, 0x0}, 7},  //_:0:95</v>
      </c>
      <c r="BO159" s="35"/>
      <c r="BP159" s="35"/>
      <c r="BQ159" s="35"/>
      <c r="BR159" s="35"/>
      <c r="BS159" s="35"/>
      <c r="BT159" s="35"/>
      <c r="BU159" s="12">
        <v>0</v>
      </c>
      <c r="BV159" s="12">
        <v>0</v>
      </c>
      <c r="BW159" s="12">
        <v>0</v>
      </c>
      <c r="BX159" s="12">
        <v>0</v>
      </c>
      <c r="BY159" s="12">
        <v>0</v>
      </c>
      <c r="BZ159" s="12">
        <v>0</v>
      </c>
      <c r="CA159" s="12">
        <v>0</v>
      </c>
      <c r="CB159" s="30" t="str">
        <f>"{{"&amp;CB156&amp;"}"&amp;", "&amp;$H$1&amp;"},  //"&amp;CB158&amp;":"&amp;CF154&amp;":"&amp;CH154</f>
        <v>{{0x0, 0x0, 0x1, 0x2, 0x4, 0x0, 0x0}, 7},  //`:0:96</v>
      </c>
      <c r="CC159" s="35"/>
      <c r="CD159" s="35"/>
      <c r="CE159" s="35"/>
      <c r="CF159" s="35"/>
      <c r="CG159" s="35"/>
      <c r="CH159" s="35"/>
    </row>
    <row r="160" spans="1:86" x14ac:dyDescent="0.25">
      <c r="A160" s="2"/>
      <c r="B160" s="2"/>
      <c r="C160" s="2"/>
      <c r="D160" s="2"/>
      <c r="E160" s="2"/>
      <c r="F160" s="2"/>
      <c r="G160" s="2"/>
      <c r="H160" s="30"/>
      <c r="I160" s="35"/>
      <c r="J160" s="35"/>
      <c r="K160" s="35"/>
      <c r="L160" s="35"/>
      <c r="M160" s="35"/>
      <c r="N160" s="35"/>
      <c r="P160" s="2"/>
      <c r="V160" s="30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  <c r="BA160" s="35"/>
      <c r="BB160" s="35"/>
      <c r="BC160" s="35"/>
      <c r="BD160" s="35"/>
      <c r="BG160" s="12">
        <v>0</v>
      </c>
      <c r="BH160" s="12">
        <v>1</v>
      </c>
      <c r="BI160" s="12">
        <v>1</v>
      </c>
      <c r="BJ160" s="12">
        <v>1</v>
      </c>
      <c r="BK160" s="12">
        <v>1</v>
      </c>
      <c r="BL160" s="12">
        <v>1</v>
      </c>
      <c r="BM160" s="12">
        <v>0</v>
      </c>
      <c r="BN160" s="30"/>
      <c r="BO160" s="35"/>
      <c r="BP160" s="35"/>
      <c r="BQ160" s="35"/>
      <c r="BR160" s="35"/>
      <c r="BS160" s="35"/>
      <c r="BT160" s="35"/>
      <c r="BU160" s="12">
        <v>0</v>
      </c>
      <c r="BV160" s="12">
        <v>0</v>
      </c>
      <c r="BW160" s="12">
        <v>0</v>
      </c>
      <c r="BX160" s="12">
        <v>0</v>
      </c>
      <c r="BY160" s="12">
        <v>0</v>
      </c>
      <c r="BZ160" s="12">
        <v>0</v>
      </c>
      <c r="CA160" s="12">
        <v>0</v>
      </c>
      <c r="CB160" s="30"/>
      <c r="CC160" s="35"/>
      <c r="CD160" s="35"/>
      <c r="CE160" s="35"/>
      <c r="CF160" s="35"/>
      <c r="CG160" s="35"/>
      <c r="CH160" s="35"/>
    </row>
    <row r="161" spans="1:86" x14ac:dyDescent="0.25">
      <c r="A161" s="2"/>
      <c r="B161" s="2"/>
      <c r="C161" s="2"/>
      <c r="D161" s="2"/>
      <c r="E161" s="2"/>
      <c r="F161" s="2"/>
      <c r="G161" s="2"/>
      <c r="P161" s="2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  <c r="AZ161" s="35"/>
      <c r="BA161" s="35"/>
      <c r="BB161" s="35"/>
      <c r="BC161" s="35"/>
      <c r="BD161" s="35"/>
      <c r="BG161" s="12">
        <v>0</v>
      </c>
      <c r="BH161" s="12">
        <v>0</v>
      </c>
      <c r="BI161" s="12">
        <v>0</v>
      </c>
      <c r="BJ161" s="12">
        <v>0</v>
      </c>
      <c r="BK161" s="12">
        <v>0</v>
      </c>
      <c r="BL161" s="12">
        <v>0</v>
      </c>
      <c r="BM161" s="12">
        <v>0</v>
      </c>
      <c r="BN161" s="36" t="s">
        <v>48</v>
      </c>
      <c r="BO161" s="37"/>
      <c r="BP161" s="37"/>
      <c r="BQ161" s="37"/>
      <c r="BR161" s="38"/>
      <c r="BS161" s="38"/>
      <c r="BT161" s="26"/>
      <c r="BU161" s="13">
        <v>0</v>
      </c>
      <c r="BV161" s="13">
        <v>0</v>
      </c>
      <c r="BW161" s="13">
        <v>0</v>
      </c>
      <c r="BX161" s="13">
        <v>0</v>
      </c>
      <c r="BY161" s="13">
        <v>0</v>
      </c>
      <c r="BZ161" s="13">
        <v>0</v>
      </c>
      <c r="CA161" s="12">
        <v>0</v>
      </c>
      <c r="CB161" s="36" t="s">
        <v>48</v>
      </c>
      <c r="CC161" s="37"/>
      <c r="CD161" s="37"/>
      <c r="CE161" s="37"/>
      <c r="CF161" s="38"/>
      <c r="CG161" s="38"/>
      <c r="CH161" s="26"/>
    </row>
    <row r="162" spans="1:86" s="4" customFormat="1" x14ac:dyDescent="0.25">
      <c r="A162" s="6">
        <v>1</v>
      </c>
      <c r="B162" s="6">
        <v>2</v>
      </c>
      <c r="C162" s="6">
        <v>3</v>
      </c>
      <c r="D162" s="6">
        <v>4</v>
      </c>
      <c r="E162" s="6">
        <v>5</v>
      </c>
      <c r="F162" s="6">
        <v>6</v>
      </c>
      <c r="G162" s="6">
        <v>7</v>
      </c>
      <c r="H162" s="44" t="s">
        <v>0</v>
      </c>
      <c r="I162" s="44"/>
      <c r="J162" s="44"/>
      <c r="K162" s="44"/>
      <c r="L162" s="45">
        <v>0</v>
      </c>
      <c r="M162" s="45"/>
      <c r="N162" s="16">
        <v>48</v>
      </c>
      <c r="O162" s="6">
        <v>1</v>
      </c>
      <c r="P162" s="6">
        <v>2</v>
      </c>
      <c r="Q162" s="6">
        <v>3</v>
      </c>
      <c r="R162" s="6">
        <v>4</v>
      </c>
      <c r="S162" s="6">
        <v>5</v>
      </c>
      <c r="T162" s="6">
        <v>6</v>
      </c>
      <c r="U162" s="6">
        <v>7</v>
      </c>
      <c r="V162" s="44" t="s">
        <v>0</v>
      </c>
      <c r="W162" s="44"/>
      <c r="X162" s="44"/>
      <c r="Y162" s="44"/>
      <c r="Z162" s="45">
        <v>0</v>
      </c>
      <c r="AA162" s="45"/>
      <c r="AB162" s="16">
        <v>49</v>
      </c>
      <c r="BE162" s="20"/>
      <c r="BF162" s="20"/>
      <c r="BG162" s="25"/>
    </row>
    <row r="163" spans="1:86" x14ac:dyDescent="0.25">
      <c r="A163" s="10">
        <v>0</v>
      </c>
      <c r="B163" s="10">
        <v>0</v>
      </c>
      <c r="C163" s="10">
        <v>1</v>
      </c>
      <c r="D163" s="10">
        <v>1</v>
      </c>
      <c r="E163" s="10">
        <v>0</v>
      </c>
      <c r="F163" s="10">
        <v>0</v>
      </c>
      <c r="G163" s="10">
        <v>0</v>
      </c>
      <c r="H163" s="11" t="str">
        <f>BIN2HEX(A169&amp;A168&amp;A167&amp;A166&amp;A165&amp;A164&amp;A163)</f>
        <v>0</v>
      </c>
      <c r="I163" s="11" t="str">
        <f>BIN2HEX(B169&amp;B168&amp;B167&amp;B166&amp;B165&amp;B164&amp;B163)</f>
        <v>1E</v>
      </c>
      <c r="J163" s="11" t="str">
        <f t="shared" ref="J163" si="408">BIN2HEX(C169&amp;C168&amp;C167&amp;C166&amp;C165&amp;C164&amp;C163)</f>
        <v>29</v>
      </c>
      <c r="K163" s="11" t="str">
        <f t="shared" ref="K163" si="409">BIN2HEX(D169&amp;D168&amp;D167&amp;D166&amp;D165&amp;D164&amp;D163)</f>
        <v>25</v>
      </c>
      <c r="L163" s="11" t="str">
        <f t="shared" ref="L163" si="410">BIN2HEX(E169&amp;E168&amp;E167&amp;E166&amp;E165&amp;E164&amp;E163)</f>
        <v>1E</v>
      </c>
      <c r="M163" s="11" t="str">
        <f t="shared" ref="M163" si="411">BIN2HEX(F169&amp;F168&amp;F167&amp;F166&amp;F165&amp;F164&amp;F163)</f>
        <v>0</v>
      </c>
      <c r="N163" s="11" t="str">
        <f t="shared" ref="N163" si="412">BIN2HEX(G169&amp;G168&amp;G167&amp;G166&amp;G165&amp;G164&amp;G163)</f>
        <v>0</v>
      </c>
      <c r="O163" s="2">
        <v>0</v>
      </c>
      <c r="P163" s="2">
        <v>0</v>
      </c>
      <c r="Q163" s="2">
        <v>0</v>
      </c>
      <c r="R163" s="2">
        <v>1</v>
      </c>
      <c r="S163" s="2">
        <v>0</v>
      </c>
      <c r="T163" s="2">
        <v>0</v>
      </c>
      <c r="U163" s="2">
        <v>0</v>
      </c>
      <c r="V163" s="11" t="str">
        <f>BIN2HEX(O169&amp;O168&amp;O167&amp;O166&amp;O165&amp;O164&amp;O163)</f>
        <v>0</v>
      </c>
      <c r="W163" s="11" t="str">
        <f>BIN2HEX(P169&amp;P168&amp;P167&amp;P166&amp;P165&amp;P164&amp;P163)</f>
        <v>4</v>
      </c>
      <c r="X163" s="11" t="str">
        <f t="shared" ref="X163" si="413">BIN2HEX(Q169&amp;Q168&amp;Q167&amp;Q166&amp;Q165&amp;Q164&amp;Q163)</f>
        <v>2</v>
      </c>
      <c r="Y163" s="11" t="str">
        <f t="shared" ref="Y163" si="414">BIN2HEX(R169&amp;R168&amp;R167&amp;R166&amp;R165&amp;R164&amp;R163)</f>
        <v>3F</v>
      </c>
      <c r="Z163" s="11" t="str">
        <f t="shared" ref="Z163" si="415">BIN2HEX(S169&amp;S168&amp;S167&amp;S166&amp;S165&amp;S164&amp;S163)</f>
        <v>0</v>
      </c>
      <c r="AA163" s="11" t="str">
        <f t="shared" ref="AA163" si="416">BIN2HEX(T169&amp;T168&amp;T167&amp;T166&amp;T165&amp;T164&amp;T163)</f>
        <v>0</v>
      </c>
      <c r="AB163" s="11" t="str">
        <f t="shared" ref="AB163" si="417">BIN2HEX(U169&amp;U168&amp;U167&amp;U166&amp;U165&amp;U164&amp;U163)</f>
        <v>0</v>
      </c>
      <c r="AC163" s="29" t="str">
        <f>H167
&amp;CHAR(10)&amp;V167
&amp;CHAR(10)&amp;H175
&amp;CHAR(10)&amp;V175
&amp;CHAR(10)&amp;H183
&amp;CHAR(10)&amp;V183
&amp;CHAR(10)&amp;H191
&amp;CHAR(10)&amp;V191
&amp;CHAR(10)&amp;H199
&amp;CHAR(10)&amp;V199</f>
        <v>{{0x0, 0x1E, 0x29, 0x25, 0x1E, 0x0, 0x0}, 7},  //0:0:48
{{0x0, 0x4, 0x2, 0x3F, 0x0, 0x0, 0x0}, 7},  //1:0:49
{{0x0, 0x22, 0x31, 0x29, 0x26, 0x0, 0x0}, 7},  //2:0:50
{{0x0, 0x12, 0x21, 0x25, 0x1A, 0x0, 0x0}, 7},  //3:0:51
{{0x0, 0x7, 0x4, 0x4, 0x3F, 0x0, 0x0}, 7},  //4:0:52
{{0x0, 0x17, 0x25, 0x25, 0x19, 0x0, 0x0}, 7},  //5:0:53
{{0x0, 0x1E, 0x25, 0x25, 0x18, 0x0, 0x0}, 7},  //6:0:54
{{0x0, 0x1, 0x39, 0x5, 0x3, 0x0, 0x0}, 7},  //7:0:55
{{0x0, 0x1A, 0x25, 0x25, 0x1A, 0x0, 0x0}, 7},  //8:0:56
{{0x0, 0x6, 0x29, 0x29, 0x1E, 0x0, 0x0}, 7},  //9:0:57</v>
      </c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G163" s="28" t="str">
        <f>BN143
&amp;CHAR(10)&amp;CB143
&amp;CHAR(10)&amp;BN151
&amp;CHAR(10)&amp;CB151
&amp;CHAR(10)&amp;BN159
&amp;CHAR(10)&amp;CB159</f>
        <v>{{0x0, 0x0, 0x3F, 0x21, 0x0, 0x0, 0x0}, 7},  //[:0:91
{{0x0, 0x0, 0x3, 0xC, 0x30, 0x0, 0x0}, 7},  //\:0:92
{{0x0, 0x0, 0x0, 0x21, 0x3F, 0x0, 0x0}, 7},  //]:0:93
{{0x0, 0x4, 0x2, 0x1, 0x2, 0x4, 0x0}, 7},  //^:0:94
{{0x0, 0x20, 0x20, 0x20, 0x20, 0x20, 0x0}, 7},  //_:0:95
{{0x0, 0x0, 0x1, 0x2, 0x4, 0x0, 0x0}, 7},  //`:0:96</v>
      </c>
      <c r="BH163" s="29"/>
      <c r="BI163" s="29"/>
      <c r="BJ163" s="29"/>
      <c r="BK163" s="29"/>
      <c r="BL163" s="29"/>
      <c r="BM163" s="29"/>
      <c r="BN163" s="29"/>
      <c r="BO163" s="29"/>
      <c r="BP163" s="29"/>
      <c r="BQ163" s="29"/>
      <c r="BR163" s="29"/>
      <c r="BS163" s="29"/>
      <c r="BT163" s="29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</row>
    <row r="164" spans="1:86" ht="15" customHeight="1" x14ac:dyDescent="0.25">
      <c r="A164" s="10">
        <v>0</v>
      </c>
      <c r="B164" s="12">
        <v>1</v>
      </c>
      <c r="C164" s="12">
        <v>0</v>
      </c>
      <c r="D164" s="12">
        <v>0</v>
      </c>
      <c r="E164" s="12">
        <v>1</v>
      </c>
      <c r="F164" s="12">
        <v>0</v>
      </c>
      <c r="G164" s="12">
        <v>0</v>
      </c>
      <c r="H164" s="34" t="str">
        <f>"0x"&amp;H163&amp;", 0x"&amp;I163&amp;", 0x"&amp;J163&amp;", 0x"&amp;K163&amp;", 0x"&amp;L163&amp;", 0x"&amp;M163&amp;", 0x"&amp;N163</f>
        <v>0x0, 0x1E, 0x29, 0x25, 0x1E, 0x0, 0x0</v>
      </c>
      <c r="I164" s="35"/>
      <c r="J164" s="35"/>
      <c r="K164" s="35"/>
      <c r="L164" s="35"/>
      <c r="M164" s="35"/>
      <c r="N164" s="35"/>
      <c r="O164" s="2">
        <v>0</v>
      </c>
      <c r="P164" s="2">
        <v>0</v>
      </c>
      <c r="Q164" s="2">
        <v>1</v>
      </c>
      <c r="R164" s="2">
        <v>1</v>
      </c>
      <c r="S164" s="2">
        <v>0</v>
      </c>
      <c r="T164" s="2">
        <v>0</v>
      </c>
      <c r="U164" s="2">
        <v>0</v>
      </c>
      <c r="V164" s="34" t="str">
        <f>"0x"&amp;V163&amp;", 0x"&amp;W163&amp;", 0x"&amp;X163&amp;", 0x"&amp;Y163&amp;", 0x"&amp;Z163&amp;", 0x"&amp;AA163&amp;", 0x"&amp;AB163</f>
        <v>0x0, 0x4, 0x2, 0x3F, 0x0, 0x0, 0x0</v>
      </c>
      <c r="W164" s="35"/>
      <c r="X164" s="35"/>
      <c r="Y164" s="35"/>
      <c r="Z164" s="35"/>
      <c r="AA164" s="35"/>
      <c r="AB164" s="35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G164" s="30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</row>
    <row r="165" spans="1:86" x14ac:dyDescent="0.25">
      <c r="A165" s="10">
        <v>0</v>
      </c>
      <c r="B165" s="12">
        <v>1</v>
      </c>
      <c r="C165" s="12">
        <v>0</v>
      </c>
      <c r="D165" s="12">
        <v>1</v>
      </c>
      <c r="E165" s="12">
        <v>1</v>
      </c>
      <c r="F165" s="12">
        <v>0</v>
      </c>
      <c r="G165" s="12">
        <v>0</v>
      </c>
      <c r="H165" s="34"/>
      <c r="I165" s="35"/>
      <c r="J165" s="35"/>
      <c r="K165" s="35"/>
      <c r="L165" s="35"/>
      <c r="M165" s="35"/>
      <c r="N165" s="35"/>
      <c r="O165" s="2">
        <v>0</v>
      </c>
      <c r="P165" s="2">
        <v>1</v>
      </c>
      <c r="Q165" s="2">
        <v>0</v>
      </c>
      <c r="R165" s="2">
        <v>1</v>
      </c>
      <c r="S165" s="2">
        <v>0</v>
      </c>
      <c r="T165" s="2">
        <v>0</v>
      </c>
      <c r="U165" s="2">
        <v>0</v>
      </c>
      <c r="V165" s="34"/>
      <c r="W165" s="35"/>
      <c r="X165" s="35"/>
      <c r="Y165" s="35"/>
      <c r="Z165" s="35"/>
      <c r="AA165" s="35"/>
      <c r="AB165" s="35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G165" s="30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</row>
    <row r="166" spans="1:86" x14ac:dyDescent="0.25">
      <c r="A166" s="10">
        <v>0</v>
      </c>
      <c r="B166" s="12">
        <v>1</v>
      </c>
      <c r="C166" s="12">
        <v>1</v>
      </c>
      <c r="D166" s="12">
        <v>0</v>
      </c>
      <c r="E166" s="12">
        <v>1</v>
      </c>
      <c r="F166" s="12">
        <v>0</v>
      </c>
      <c r="G166" s="12">
        <v>0</v>
      </c>
      <c r="H166" s="48">
        <v>0</v>
      </c>
      <c r="I166" s="49"/>
      <c r="J166" s="49"/>
      <c r="K166" s="49"/>
      <c r="L166" s="49"/>
      <c r="M166" s="49"/>
      <c r="N166" s="49"/>
      <c r="O166" s="2">
        <v>0</v>
      </c>
      <c r="P166" s="2">
        <v>0</v>
      </c>
      <c r="Q166" s="2">
        <v>0</v>
      </c>
      <c r="R166" s="2">
        <v>1</v>
      </c>
      <c r="S166" s="2">
        <v>0</v>
      </c>
      <c r="T166" s="2">
        <v>0</v>
      </c>
      <c r="U166" s="2">
        <v>0</v>
      </c>
      <c r="V166" s="48">
        <v>1</v>
      </c>
      <c r="W166" s="49"/>
      <c r="X166" s="49"/>
      <c r="Y166" s="49"/>
      <c r="Z166" s="49"/>
      <c r="AA166" s="49"/>
      <c r="AB166" s="49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G166" s="30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</row>
    <row r="167" spans="1:86" ht="15" customHeight="1" x14ac:dyDescent="0.25">
      <c r="A167" s="10">
        <v>0</v>
      </c>
      <c r="B167" s="12">
        <v>1</v>
      </c>
      <c r="C167" s="12">
        <v>0</v>
      </c>
      <c r="D167" s="12">
        <v>0</v>
      </c>
      <c r="E167" s="12">
        <v>1</v>
      </c>
      <c r="F167" s="12">
        <v>0</v>
      </c>
      <c r="G167" s="12">
        <v>0</v>
      </c>
      <c r="H167" s="30" t="str">
        <f>"{{"&amp;H164&amp;"}"&amp;", "&amp;$H$1&amp;"},  //"&amp;H166&amp;":"&amp;L162&amp;":"&amp;N162</f>
        <v>{{0x0, 0x1E, 0x29, 0x25, 0x1E, 0x0, 0x0}, 7},  //0:0:48</v>
      </c>
      <c r="I167" s="35"/>
      <c r="J167" s="35"/>
      <c r="K167" s="35"/>
      <c r="L167" s="35"/>
      <c r="M167" s="35"/>
      <c r="N167" s="35"/>
      <c r="O167" s="2">
        <v>0</v>
      </c>
      <c r="P167" s="2">
        <v>0</v>
      </c>
      <c r="Q167" s="2">
        <v>0</v>
      </c>
      <c r="R167" s="2">
        <v>1</v>
      </c>
      <c r="S167" s="2">
        <v>0</v>
      </c>
      <c r="T167" s="2">
        <v>0</v>
      </c>
      <c r="U167" s="2">
        <v>0</v>
      </c>
      <c r="V167" s="30" t="str">
        <f>"{{"&amp;V164&amp;"}"&amp;", "&amp;$H$1&amp;"},  //"&amp;V166&amp;":"&amp;Z162&amp;":"&amp;AB162</f>
        <v>{{0x0, 0x4, 0x2, 0x3F, 0x0, 0x0, 0x0}, 7},  //1:0:49</v>
      </c>
      <c r="W167" s="35"/>
      <c r="X167" s="35"/>
      <c r="Y167" s="35"/>
      <c r="Z167" s="35"/>
      <c r="AA167" s="35"/>
      <c r="AB167" s="35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G167" s="30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  <c r="CH167" s="31"/>
    </row>
    <row r="168" spans="1:86" x14ac:dyDescent="0.25">
      <c r="A168" s="10">
        <v>0</v>
      </c>
      <c r="B168" s="12">
        <v>0</v>
      </c>
      <c r="C168" s="12">
        <v>1</v>
      </c>
      <c r="D168" s="12">
        <v>1</v>
      </c>
      <c r="E168" s="12">
        <v>0</v>
      </c>
      <c r="F168" s="12">
        <v>0</v>
      </c>
      <c r="G168" s="12">
        <v>0</v>
      </c>
      <c r="H168" s="30"/>
      <c r="I168" s="35"/>
      <c r="J168" s="35"/>
      <c r="K168" s="35"/>
      <c r="L168" s="35"/>
      <c r="M168" s="35"/>
      <c r="N168" s="35"/>
      <c r="O168" s="2">
        <v>0</v>
      </c>
      <c r="P168" s="2">
        <v>0</v>
      </c>
      <c r="Q168" s="2">
        <v>0</v>
      </c>
      <c r="R168" s="2">
        <v>1</v>
      </c>
      <c r="S168" s="2">
        <v>0</v>
      </c>
      <c r="T168" s="2">
        <v>0</v>
      </c>
      <c r="U168" s="2">
        <v>0</v>
      </c>
      <c r="V168" s="30"/>
      <c r="W168" s="35"/>
      <c r="X168" s="35"/>
      <c r="Y168" s="35"/>
      <c r="Z168" s="35"/>
      <c r="AA168" s="35"/>
      <c r="AB168" s="35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G168" s="30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</row>
    <row r="169" spans="1:86" x14ac:dyDescent="0.25">
      <c r="A169" s="13">
        <v>0</v>
      </c>
      <c r="B169" s="10">
        <v>0</v>
      </c>
      <c r="C169" s="13">
        <v>0</v>
      </c>
      <c r="D169" s="13">
        <v>0</v>
      </c>
      <c r="E169" s="13">
        <v>0</v>
      </c>
      <c r="F169" s="13">
        <v>0</v>
      </c>
      <c r="G169" s="1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G169" s="32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  <c r="BW169" s="33"/>
      <c r="BX169" s="33"/>
      <c r="BY169" s="33"/>
      <c r="BZ169" s="33"/>
      <c r="CA169" s="33"/>
      <c r="CB169" s="33"/>
      <c r="CC169" s="33"/>
      <c r="CD169" s="33"/>
      <c r="CE169" s="33"/>
      <c r="CF169" s="33"/>
      <c r="CG169" s="33"/>
      <c r="CH169" s="33"/>
    </row>
    <row r="170" spans="1:86" s="4" customFormat="1" x14ac:dyDescent="0.25">
      <c r="A170" s="6">
        <v>1</v>
      </c>
      <c r="B170" s="6">
        <v>2</v>
      </c>
      <c r="C170" s="6">
        <v>3</v>
      </c>
      <c r="D170" s="6">
        <v>4</v>
      </c>
      <c r="E170" s="6">
        <v>5</v>
      </c>
      <c r="F170" s="6">
        <v>6</v>
      </c>
      <c r="G170" s="6">
        <v>7</v>
      </c>
      <c r="H170" s="44" t="s">
        <v>0</v>
      </c>
      <c r="I170" s="44"/>
      <c r="J170" s="44"/>
      <c r="K170" s="44"/>
      <c r="L170" s="45">
        <v>0</v>
      </c>
      <c r="M170" s="45"/>
      <c r="N170" s="16">
        <v>50</v>
      </c>
      <c r="O170" s="6">
        <v>1</v>
      </c>
      <c r="P170" s="6">
        <v>2</v>
      </c>
      <c r="Q170" s="6">
        <v>3</v>
      </c>
      <c r="R170" s="6">
        <v>4</v>
      </c>
      <c r="S170" s="6">
        <v>5</v>
      </c>
      <c r="T170" s="6">
        <v>6</v>
      </c>
      <c r="U170" s="6">
        <v>7</v>
      </c>
      <c r="V170" s="44" t="s">
        <v>0</v>
      </c>
      <c r="W170" s="44"/>
      <c r="X170" s="44"/>
      <c r="Y170" s="44"/>
      <c r="Z170" s="45">
        <v>0</v>
      </c>
      <c r="AA170" s="45"/>
      <c r="AB170" s="16">
        <v>51</v>
      </c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20"/>
      <c r="BF170" s="20"/>
      <c r="BG170" s="25"/>
    </row>
    <row r="171" spans="1:86" x14ac:dyDescent="0.25">
      <c r="A171" s="2">
        <v>0</v>
      </c>
      <c r="B171" s="2">
        <v>0</v>
      </c>
      <c r="C171" s="2">
        <v>1</v>
      </c>
      <c r="D171" s="2">
        <v>1</v>
      </c>
      <c r="E171" s="2">
        <v>0</v>
      </c>
      <c r="F171" s="2">
        <v>0</v>
      </c>
      <c r="G171" s="2">
        <v>0</v>
      </c>
      <c r="H171" s="11" t="str">
        <f>BIN2HEX(A177&amp;A176&amp;A175&amp;A174&amp;A173&amp;A172&amp;A171)</f>
        <v>0</v>
      </c>
      <c r="I171" s="11" t="str">
        <f>BIN2HEX(B177&amp;B176&amp;B175&amp;B174&amp;B173&amp;B172&amp;B171)</f>
        <v>22</v>
      </c>
      <c r="J171" s="11" t="str">
        <f t="shared" ref="J171" si="418">BIN2HEX(C177&amp;C176&amp;C175&amp;C174&amp;C173&amp;C172&amp;C171)</f>
        <v>31</v>
      </c>
      <c r="K171" s="11" t="str">
        <f t="shared" ref="K171" si="419">BIN2HEX(D177&amp;D176&amp;D175&amp;D174&amp;D173&amp;D172&amp;D171)</f>
        <v>29</v>
      </c>
      <c r="L171" s="11" t="str">
        <f t="shared" ref="L171" si="420">BIN2HEX(E177&amp;E176&amp;E175&amp;E174&amp;E173&amp;E172&amp;E171)</f>
        <v>26</v>
      </c>
      <c r="M171" s="11" t="str">
        <f t="shared" ref="M171" si="421">BIN2HEX(F177&amp;F176&amp;F175&amp;F174&amp;F173&amp;F172&amp;F171)</f>
        <v>0</v>
      </c>
      <c r="N171" s="11" t="str">
        <f t="shared" ref="N171" si="422">BIN2HEX(G177&amp;G176&amp;G175&amp;G174&amp;G173&amp;G172&amp;G171)</f>
        <v>0</v>
      </c>
      <c r="O171" s="10">
        <v>0</v>
      </c>
      <c r="P171" s="10">
        <v>0</v>
      </c>
      <c r="Q171" s="10">
        <v>1</v>
      </c>
      <c r="R171" s="10">
        <v>1</v>
      </c>
      <c r="S171" s="10">
        <v>0</v>
      </c>
      <c r="T171" s="10">
        <v>0</v>
      </c>
      <c r="U171" s="10">
        <v>0</v>
      </c>
      <c r="V171" s="11" t="str">
        <f>BIN2HEX(O177&amp;O176&amp;O175&amp;O174&amp;O173&amp;O172&amp;O171)</f>
        <v>0</v>
      </c>
      <c r="W171" s="11" t="str">
        <f>BIN2HEX(P177&amp;P176&amp;P175&amp;P174&amp;P173&amp;P172&amp;P171)</f>
        <v>12</v>
      </c>
      <c r="X171" s="11" t="str">
        <f t="shared" ref="X171" si="423">BIN2HEX(Q177&amp;Q176&amp;Q175&amp;Q174&amp;Q173&amp;Q172&amp;Q171)</f>
        <v>21</v>
      </c>
      <c r="Y171" s="11" t="str">
        <f t="shared" ref="Y171" si="424">BIN2HEX(R177&amp;R176&amp;R175&amp;R174&amp;R173&amp;R172&amp;R171)</f>
        <v>25</v>
      </c>
      <c r="Z171" s="11" t="str">
        <f t="shared" ref="Z171" si="425">BIN2HEX(S177&amp;S176&amp;S175&amp;S174&amp;S173&amp;S172&amp;S171)</f>
        <v>1A</v>
      </c>
      <c r="AA171" s="11" t="str">
        <f t="shared" ref="AA171" si="426">BIN2HEX(T177&amp;T176&amp;T175&amp;T174&amp;T173&amp;T172&amp;T171)</f>
        <v>0</v>
      </c>
      <c r="AB171" s="11" t="str">
        <f t="shared" ref="AB171" si="427">BIN2HEX(U177&amp;U176&amp;U175&amp;U174&amp;U173&amp;U172&amp;U171)</f>
        <v>0</v>
      </c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</row>
    <row r="172" spans="1:86" ht="15" customHeight="1" x14ac:dyDescent="0.25">
      <c r="A172" s="2">
        <v>0</v>
      </c>
      <c r="B172" s="2">
        <v>1</v>
      </c>
      <c r="C172" s="2">
        <v>0</v>
      </c>
      <c r="D172" s="2">
        <v>0</v>
      </c>
      <c r="E172" s="2">
        <v>1</v>
      </c>
      <c r="F172" s="2">
        <v>0</v>
      </c>
      <c r="G172" s="2">
        <v>0</v>
      </c>
      <c r="H172" s="34" t="str">
        <f>"0x"&amp;H171&amp;", 0x"&amp;I171&amp;", 0x"&amp;J171&amp;", 0x"&amp;K171&amp;", 0x"&amp;L171&amp;", 0x"&amp;M171&amp;", 0x"&amp;N171</f>
        <v>0x0, 0x22, 0x31, 0x29, 0x26, 0x0, 0x0</v>
      </c>
      <c r="I172" s="35"/>
      <c r="J172" s="35"/>
      <c r="K172" s="35"/>
      <c r="L172" s="35"/>
      <c r="M172" s="35"/>
      <c r="N172" s="35"/>
      <c r="O172" s="12">
        <v>0</v>
      </c>
      <c r="P172" s="12">
        <v>1</v>
      </c>
      <c r="Q172" s="12">
        <v>0</v>
      </c>
      <c r="R172" s="12">
        <v>0</v>
      </c>
      <c r="S172" s="12">
        <v>1</v>
      </c>
      <c r="T172" s="12">
        <v>0</v>
      </c>
      <c r="U172" s="12">
        <v>0</v>
      </c>
      <c r="V172" s="34" t="str">
        <f>"0x"&amp;V171&amp;", 0x"&amp;W171&amp;", 0x"&amp;X171&amp;", 0x"&amp;Y171&amp;", 0x"&amp;Z171&amp;", 0x"&amp;AA171&amp;", 0x"&amp;AB171</f>
        <v>0x0, 0x12, 0x21, 0x25, 0x1A, 0x0, 0x0</v>
      </c>
      <c r="W172" s="35"/>
      <c r="X172" s="35"/>
      <c r="Y172" s="35"/>
      <c r="Z172" s="35"/>
      <c r="AA172" s="35"/>
      <c r="AB172" s="35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</row>
    <row r="173" spans="1:86" x14ac:dyDescent="0.25">
      <c r="A173" s="2">
        <v>0</v>
      </c>
      <c r="B173" s="4">
        <v>0</v>
      </c>
      <c r="C173" s="2">
        <v>0</v>
      </c>
      <c r="D173" s="4">
        <v>0</v>
      </c>
      <c r="E173" s="2">
        <v>1</v>
      </c>
      <c r="F173" s="2">
        <v>0</v>
      </c>
      <c r="G173" s="2">
        <v>0</v>
      </c>
      <c r="H173" s="34"/>
      <c r="I173" s="35"/>
      <c r="J173" s="35"/>
      <c r="K173" s="35"/>
      <c r="L173" s="35"/>
      <c r="M173" s="35"/>
      <c r="N173" s="35"/>
      <c r="O173" s="12">
        <v>0</v>
      </c>
      <c r="P173" s="12">
        <v>0</v>
      </c>
      <c r="Q173" s="12">
        <v>0</v>
      </c>
      <c r="R173" s="12">
        <v>1</v>
      </c>
      <c r="S173" s="12">
        <v>0</v>
      </c>
      <c r="T173" s="12">
        <v>0</v>
      </c>
      <c r="U173" s="12">
        <v>0</v>
      </c>
      <c r="V173" s="34"/>
      <c r="W173" s="35"/>
      <c r="X173" s="35"/>
      <c r="Y173" s="35"/>
      <c r="Z173" s="35"/>
      <c r="AA173" s="35"/>
      <c r="AB173" s="35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</row>
    <row r="174" spans="1:86" x14ac:dyDescent="0.25">
      <c r="A174" s="2">
        <v>0</v>
      </c>
      <c r="B174" s="4">
        <v>0</v>
      </c>
      <c r="C174" s="2">
        <v>0</v>
      </c>
      <c r="D174" s="4">
        <v>1</v>
      </c>
      <c r="E174" s="2">
        <v>0</v>
      </c>
      <c r="F174" s="2">
        <v>0</v>
      </c>
      <c r="G174" s="2">
        <v>0</v>
      </c>
      <c r="H174" s="48">
        <v>2</v>
      </c>
      <c r="I174" s="49"/>
      <c r="J174" s="49"/>
      <c r="K174" s="49"/>
      <c r="L174" s="49"/>
      <c r="M174" s="49"/>
      <c r="N174" s="49"/>
      <c r="O174" s="12">
        <v>0</v>
      </c>
      <c r="P174" s="12">
        <v>0</v>
      </c>
      <c r="Q174" s="12">
        <v>0</v>
      </c>
      <c r="R174" s="12">
        <v>0</v>
      </c>
      <c r="S174" s="12">
        <v>1</v>
      </c>
      <c r="T174" s="12">
        <v>0</v>
      </c>
      <c r="U174" s="12">
        <v>0</v>
      </c>
      <c r="V174" s="48">
        <v>3</v>
      </c>
      <c r="W174" s="49"/>
      <c r="X174" s="49"/>
      <c r="Y174" s="49"/>
      <c r="Z174" s="49"/>
      <c r="AA174" s="49"/>
      <c r="AB174" s="49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</row>
    <row r="175" spans="1:86" ht="15" customHeight="1" x14ac:dyDescent="0.25">
      <c r="A175" s="2">
        <v>0</v>
      </c>
      <c r="B175" s="4">
        <v>0</v>
      </c>
      <c r="C175" s="2">
        <v>1</v>
      </c>
      <c r="D175" s="4">
        <v>0</v>
      </c>
      <c r="E175" s="2">
        <v>0</v>
      </c>
      <c r="F175" s="2">
        <v>0</v>
      </c>
      <c r="G175" s="2">
        <v>0</v>
      </c>
      <c r="H175" s="30" t="str">
        <f>"{{"&amp;H172&amp;"}"&amp;", "&amp;$H$1&amp;"},  //"&amp;H174&amp;":"&amp;L170&amp;":"&amp;N170</f>
        <v>{{0x0, 0x22, 0x31, 0x29, 0x26, 0x0, 0x0}, 7},  //2:0:50</v>
      </c>
      <c r="I175" s="35"/>
      <c r="J175" s="35"/>
      <c r="K175" s="35"/>
      <c r="L175" s="35"/>
      <c r="M175" s="35"/>
      <c r="N175" s="35"/>
      <c r="O175" s="12">
        <v>0</v>
      </c>
      <c r="P175" s="12">
        <v>1</v>
      </c>
      <c r="Q175" s="12">
        <v>0</v>
      </c>
      <c r="R175" s="12">
        <v>0</v>
      </c>
      <c r="S175" s="12">
        <v>1</v>
      </c>
      <c r="T175" s="12">
        <v>0</v>
      </c>
      <c r="U175" s="12">
        <v>0</v>
      </c>
      <c r="V175" s="30" t="str">
        <f>"{{"&amp;V172&amp;"}"&amp;", "&amp;$H$1&amp;"},  //"&amp;V174&amp;":"&amp;Z170&amp;":"&amp;AB170</f>
        <v>{{0x0, 0x12, 0x21, 0x25, 0x1A, 0x0, 0x0}, 7},  //3:0:51</v>
      </c>
      <c r="W175" s="35"/>
      <c r="X175" s="35"/>
      <c r="Y175" s="35"/>
      <c r="Z175" s="35"/>
      <c r="AA175" s="35"/>
      <c r="AB175" s="35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</row>
    <row r="176" spans="1:86" x14ac:dyDescent="0.25">
      <c r="A176" s="2">
        <v>0</v>
      </c>
      <c r="B176" s="2">
        <v>1</v>
      </c>
      <c r="C176" s="2">
        <v>1</v>
      </c>
      <c r="D176" s="2">
        <v>1</v>
      </c>
      <c r="E176" s="2">
        <v>1</v>
      </c>
      <c r="F176" s="2">
        <v>0</v>
      </c>
      <c r="G176" s="2">
        <v>0</v>
      </c>
      <c r="H176" s="30"/>
      <c r="I176" s="35"/>
      <c r="J176" s="35"/>
      <c r="K176" s="35"/>
      <c r="L176" s="35"/>
      <c r="M176" s="35"/>
      <c r="N176" s="35"/>
      <c r="O176" s="12">
        <v>0</v>
      </c>
      <c r="P176" s="12">
        <v>0</v>
      </c>
      <c r="Q176" s="12">
        <v>1</v>
      </c>
      <c r="R176" s="12">
        <v>1</v>
      </c>
      <c r="S176" s="12">
        <v>0</v>
      </c>
      <c r="T176" s="12">
        <v>0</v>
      </c>
      <c r="U176" s="12">
        <v>0</v>
      </c>
      <c r="V176" s="30"/>
      <c r="W176" s="35"/>
      <c r="X176" s="35"/>
      <c r="Y176" s="35"/>
      <c r="Z176" s="35"/>
      <c r="AA176" s="35"/>
      <c r="AB176" s="35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</row>
    <row r="177" spans="1:59" x14ac:dyDescent="0.25">
      <c r="A177" s="2">
        <v>0</v>
      </c>
      <c r="B177" s="1">
        <v>0</v>
      </c>
      <c r="C177" s="2">
        <v>0</v>
      </c>
      <c r="D177" s="1">
        <v>0</v>
      </c>
      <c r="E177" s="1">
        <v>0</v>
      </c>
      <c r="F177" s="1">
        <v>0</v>
      </c>
      <c r="G177" s="1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</row>
    <row r="178" spans="1:59" s="4" customFormat="1" x14ac:dyDescent="0.25">
      <c r="A178" s="6">
        <v>1</v>
      </c>
      <c r="B178" s="6">
        <v>2</v>
      </c>
      <c r="C178" s="6">
        <v>3</v>
      </c>
      <c r="D178" s="6">
        <v>4</v>
      </c>
      <c r="E178" s="6">
        <v>5</v>
      </c>
      <c r="F178" s="6">
        <v>6</v>
      </c>
      <c r="G178" s="6">
        <v>7</v>
      </c>
      <c r="H178" s="44" t="s">
        <v>0</v>
      </c>
      <c r="I178" s="44"/>
      <c r="J178" s="44"/>
      <c r="K178" s="44"/>
      <c r="L178" s="45">
        <v>0</v>
      </c>
      <c r="M178" s="45"/>
      <c r="N178" s="16">
        <v>52</v>
      </c>
      <c r="O178" s="6">
        <v>1</v>
      </c>
      <c r="P178" s="6">
        <v>2</v>
      </c>
      <c r="Q178" s="6">
        <v>3</v>
      </c>
      <c r="R178" s="6">
        <v>4</v>
      </c>
      <c r="S178" s="6">
        <v>5</v>
      </c>
      <c r="T178" s="6">
        <v>6</v>
      </c>
      <c r="U178" s="6">
        <v>7</v>
      </c>
      <c r="V178" s="44" t="s">
        <v>0</v>
      </c>
      <c r="W178" s="44"/>
      <c r="X178" s="44"/>
      <c r="Y178" s="44"/>
      <c r="Z178" s="45">
        <v>0</v>
      </c>
      <c r="AA178" s="45"/>
      <c r="AB178" s="16">
        <v>53</v>
      </c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20"/>
      <c r="BF178" s="20"/>
      <c r="BG178" s="25"/>
    </row>
    <row r="179" spans="1:59" ht="15" customHeight="1" x14ac:dyDescent="0.25">
      <c r="A179" s="2">
        <v>0</v>
      </c>
      <c r="B179" s="2">
        <v>1</v>
      </c>
      <c r="C179" s="2">
        <v>0</v>
      </c>
      <c r="D179" s="2">
        <v>0</v>
      </c>
      <c r="E179" s="2">
        <v>1</v>
      </c>
      <c r="F179" s="2">
        <v>0</v>
      </c>
      <c r="G179" s="2">
        <v>0</v>
      </c>
      <c r="H179" s="11" t="str">
        <f>BIN2HEX(A185&amp;A184&amp;A183&amp;A182&amp;A181&amp;A180&amp;A179)</f>
        <v>0</v>
      </c>
      <c r="I179" s="11" t="str">
        <f>BIN2HEX(B185&amp;B184&amp;B183&amp;B182&amp;B181&amp;B180&amp;B179)</f>
        <v>7</v>
      </c>
      <c r="J179" s="11" t="str">
        <f t="shared" ref="J179" si="428">BIN2HEX(C185&amp;C184&amp;C183&amp;C182&amp;C181&amp;C180&amp;C179)</f>
        <v>4</v>
      </c>
      <c r="K179" s="11" t="str">
        <f t="shared" ref="K179" si="429">BIN2HEX(D185&amp;D184&amp;D183&amp;D182&amp;D181&amp;D180&amp;D179)</f>
        <v>4</v>
      </c>
      <c r="L179" s="11" t="str">
        <f t="shared" ref="L179" si="430">BIN2HEX(E185&amp;E184&amp;E183&amp;E182&amp;E181&amp;E180&amp;E179)</f>
        <v>3F</v>
      </c>
      <c r="M179" s="11" t="str">
        <f t="shared" ref="M179" si="431">BIN2HEX(F185&amp;F184&amp;F183&amp;F182&amp;F181&amp;F180&amp;F179)</f>
        <v>0</v>
      </c>
      <c r="N179" s="11" t="str">
        <f t="shared" ref="N179" si="432">BIN2HEX(G185&amp;G184&amp;G183&amp;G182&amp;G181&amp;G180&amp;G179)</f>
        <v>0</v>
      </c>
      <c r="O179" s="2">
        <v>0</v>
      </c>
      <c r="P179" s="2">
        <v>1</v>
      </c>
      <c r="Q179" s="2">
        <v>1</v>
      </c>
      <c r="R179" s="2">
        <v>1</v>
      </c>
      <c r="S179" s="2">
        <v>1</v>
      </c>
      <c r="T179" s="2">
        <v>0</v>
      </c>
      <c r="U179" s="2">
        <v>0</v>
      </c>
      <c r="V179" s="11" t="str">
        <f>BIN2HEX(O185&amp;O184&amp;O183&amp;O182&amp;O181&amp;O180&amp;O179)</f>
        <v>0</v>
      </c>
      <c r="W179" s="11" t="str">
        <f>BIN2HEX(P185&amp;P184&amp;P183&amp;P182&amp;P181&amp;P180&amp;P179)</f>
        <v>17</v>
      </c>
      <c r="X179" s="11" t="str">
        <f t="shared" ref="X179" si="433">BIN2HEX(Q185&amp;Q184&amp;Q183&amp;Q182&amp;Q181&amp;Q180&amp;Q179)</f>
        <v>25</v>
      </c>
      <c r="Y179" s="11" t="str">
        <f t="shared" ref="Y179" si="434">BIN2HEX(R185&amp;R184&amp;R183&amp;R182&amp;R181&amp;R180&amp;R179)</f>
        <v>25</v>
      </c>
      <c r="Z179" s="11" t="str">
        <f t="shared" ref="Z179" si="435">BIN2HEX(S185&amp;S184&amp;S183&amp;S182&amp;S181&amp;S180&amp;S179)</f>
        <v>19</v>
      </c>
      <c r="AA179" s="11" t="str">
        <f t="shared" ref="AA179" si="436">BIN2HEX(T185&amp;T184&amp;T183&amp;T182&amp;T181&amp;T180&amp;T179)</f>
        <v>0</v>
      </c>
      <c r="AB179" s="11" t="str">
        <f t="shared" ref="AB179" si="437">BIN2HEX(U185&amp;U184&amp;U183&amp;U182&amp;U181&amp;U180&amp;U179)</f>
        <v>0</v>
      </c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</row>
    <row r="180" spans="1:59" ht="15" customHeight="1" x14ac:dyDescent="0.25">
      <c r="A180" s="2">
        <v>0</v>
      </c>
      <c r="B180" s="2">
        <v>1</v>
      </c>
      <c r="C180" s="2">
        <v>0</v>
      </c>
      <c r="D180" s="2">
        <v>0</v>
      </c>
      <c r="E180" s="2">
        <v>1</v>
      </c>
      <c r="F180" s="2">
        <v>0</v>
      </c>
      <c r="G180" s="2">
        <v>0</v>
      </c>
      <c r="H180" s="34" t="str">
        <f>"0x"&amp;H179&amp;", 0x"&amp;I179&amp;", 0x"&amp;J179&amp;", 0x"&amp;K179&amp;", 0x"&amp;L179&amp;", 0x"&amp;M179&amp;", 0x"&amp;N179</f>
        <v>0x0, 0x7, 0x4, 0x4, 0x3F, 0x0, 0x0</v>
      </c>
      <c r="I180" s="35"/>
      <c r="J180" s="35"/>
      <c r="K180" s="35"/>
      <c r="L180" s="35"/>
      <c r="M180" s="35"/>
      <c r="N180" s="35"/>
      <c r="O180" s="2">
        <v>0</v>
      </c>
      <c r="P180" s="2">
        <v>1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34" t="str">
        <f>"0x"&amp;V179&amp;", 0x"&amp;W179&amp;", 0x"&amp;X179&amp;", 0x"&amp;Y179&amp;", 0x"&amp;Z179&amp;", 0x"&amp;AA179&amp;", 0x"&amp;AB179</f>
        <v>0x0, 0x17, 0x25, 0x25, 0x19, 0x0, 0x0</v>
      </c>
      <c r="W180" s="35"/>
      <c r="X180" s="35"/>
      <c r="Y180" s="35"/>
      <c r="Z180" s="35"/>
      <c r="AA180" s="35"/>
      <c r="AB180" s="35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</row>
    <row r="181" spans="1:59" x14ac:dyDescent="0.25">
      <c r="A181" s="2">
        <v>0</v>
      </c>
      <c r="B181" s="2">
        <v>1</v>
      </c>
      <c r="C181" s="2">
        <v>1</v>
      </c>
      <c r="D181" s="2">
        <v>1</v>
      </c>
      <c r="E181" s="2">
        <v>1</v>
      </c>
      <c r="F181" s="2">
        <v>0</v>
      </c>
      <c r="G181" s="2">
        <v>0</v>
      </c>
      <c r="H181" s="34"/>
      <c r="I181" s="35"/>
      <c r="J181" s="35"/>
      <c r="K181" s="35"/>
      <c r="L181" s="35"/>
      <c r="M181" s="35"/>
      <c r="N181" s="35"/>
      <c r="O181" s="2">
        <v>0</v>
      </c>
      <c r="P181" s="2">
        <v>1</v>
      </c>
      <c r="Q181" s="2">
        <v>1</v>
      </c>
      <c r="R181" s="2">
        <v>1</v>
      </c>
      <c r="S181" s="2">
        <v>0</v>
      </c>
      <c r="T181" s="2">
        <v>0</v>
      </c>
      <c r="U181" s="2">
        <v>0</v>
      </c>
      <c r="V181" s="34"/>
      <c r="W181" s="35"/>
      <c r="X181" s="35"/>
      <c r="Y181" s="35"/>
      <c r="Z181" s="35"/>
      <c r="AA181" s="35"/>
      <c r="AB181" s="35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</row>
    <row r="182" spans="1:59" x14ac:dyDescent="0.25">
      <c r="A182" s="2">
        <v>0</v>
      </c>
      <c r="B182" s="2">
        <v>0</v>
      </c>
      <c r="C182" s="2">
        <v>0</v>
      </c>
      <c r="D182" s="2">
        <v>0</v>
      </c>
      <c r="E182" s="2">
        <v>1</v>
      </c>
      <c r="F182" s="2">
        <v>0</v>
      </c>
      <c r="G182" s="2">
        <v>0</v>
      </c>
      <c r="H182" s="48">
        <v>4</v>
      </c>
      <c r="I182" s="49"/>
      <c r="J182" s="49"/>
      <c r="K182" s="49"/>
      <c r="L182" s="49"/>
      <c r="M182" s="49"/>
      <c r="N182" s="49"/>
      <c r="O182" s="2">
        <v>0</v>
      </c>
      <c r="P182" s="2">
        <v>0</v>
      </c>
      <c r="Q182" s="2">
        <v>0</v>
      </c>
      <c r="R182" s="2">
        <v>0</v>
      </c>
      <c r="S182" s="2">
        <v>1</v>
      </c>
      <c r="T182" s="2">
        <v>0</v>
      </c>
      <c r="U182" s="2">
        <v>0</v>
      </c>
      <c r="V182" s="48">
        <v>5</v>
      </c>
      <c r="W182" s="49"/>
      <c r="X182" s="49"/>
      <c r="Y182" s="49"/>
      <c r="Z182" s="49"/>
      <c r="AA182" s="49"/>
      <c r="AB182" s="49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</row>
    <row r="183" spans="1:59" ht="15" customHeight="1" x14ac:dyDescent="0.25">
      <c r="A183" s="2">
        <v>0</v>
      </c>
      <c r="B183" s="2">
        <v>0</v>
      </c>
      <c r="C183" s="2">
        <v>0</v>
      </c>
      <c r="D183" s="2">
        <v>0</v>
      </c>
      <c r="E183" s="2">
        <v>1</v>
      </c>
      <c r="F183" s="2">
        <v>0</v>
      </c>
      <c r="G183" s="2">
        <v>0</v>
      </c>
      <c r="H183" s="30" t="str">
        <f>"{{"&amp;H180&amp;"}"&amp;", "&amp;$H$1&amp;"},  //"&amp;H182&amp;":"&amp;L178&amp;":"&amp;N178</f>
        <v>{{0x0, 0x7, 0x4, 0x4, 0x3F, 0x0, 0x0}, 7},  //4:0:52</v>
      </c>
      <c r="I183" s="35"/>
      <c r="J183" s="35"/>
      <c r="K183" s="35"/>
      <c r="L183" s="35"/>
      <c r="M183" s="35"/>
      <c r="N183" s="35"/>
      <c r="O183" s="2">
        <v>0</v>
      </c>
      <c r="P183" s="2">
        <v>1</v>
      </c>
      <c r="Q183" s="2">
        <v>0</v>
      </c>
      <c r="R183" s="2">
        <v>0</v>
      </c>
      <c r="S183" s="2">
        <v>1</v>
      </c>
      <c r="T183" s="2">
        <v>0</v>
      </c>
      <c r="U183" s="2">
        <v>0</v>
      </c>
      <c r="V183" s="30" t="str">
        <f>"{{"&amp;V180&amp;"}"&amp;", "&amp;$H$1&amp;"},  //"&amp;V182&amp;":"&amp;Z178&amp;":"&amp;AB178</f>
        <v>{{0x0, 0x17, 0x25, 0x25, 0x19, 0x0, 0x0}, 7},  //5:0:53</v>
      </c>
      <c r="W183" s="35"/>
      <c r="X183" s="35"/>
      <c r="Y183" s="35"/>
      <c r="Z183" s="35"/>
      <c r="AA183" s="35"/>
      <c r="AB183" s="35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</row>
    <row r="184" spans="1:59" x14ac:dyDescent="0.25">
      <c r="A184" s="2">
        <v>0</v>
      </c>
      <c r="B184" s="2">
        <v>0</v>
      </c>
      <c r="C184" s="2">
        <v>0</v>
      </c>
      <c r="D184" s="2">
        <v>0</v>
      </c>
      <c r="E184" s="2">
        <v>1</v>
      </c>
      <c r="F184" s="2">
        <v>0</v>
      </c>
      <c r="G184" s="2">
        <v>0</v>
      </c>
      <c r="H184" s="30"/>
      <c r="I184" s="35"/>
      <c r="J184" s="35"/>
      <c r="K184" s="35"/>
      <c r="L184" s="35"/>
      <c r="M184" s="35"/>
      <c r="N184" s="35"/>
      <c r="O184" s="2">
        <v>0</v>
      </c>
      <c r="P184" s="2">
        <v>0</v>
      </c>
      <c r="Q184" s="2">
        <v>1</v>
      </c>
      <c r="R184" s="2">
        <v>1</v>
      </c>
      <c r="S184" s="2">
        <v>0</v>
      </c>
      <c r="T184" s="2">
        <v>0</v>
      </c>
      <c r="U184" s="2">
        <v>0</v>
      </c>
      <c r="V184" s="30"/>
      <c r="W184" s="35"/>
      <c r="X184" s="35"/>
      <c r="Y184" s="35"/>
      <c r="Z184" s="35"/>
      <c r="AA184" s="35"/>
      <c r="AB184" s="35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</row>
    <row r="185" spans="1:59" x14ac:dyDescent="0.25">
      <c r="A185" s="2">
        <v>0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2">
        <v>0</v>
      </c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</row>
    <row r="186" spans="1:59" x14ac:dyDescent="0.25">
      <c r="A186" s="6">
        <v>1</v>
      </c>
      <c r="B186" s="6">
        <v>2</v>
      </c>
      <c r="C186" s="6">
        <v>3</v>
      </c>
      <c r="D186" s="6">
        <v>4</v>
      </c>
      <c r="E186" s="6">
        <v>5</v>
      </c>
      <c r="F186" s="6">
        <v>6</v>
      </c>
      <c r="G186" s="6">
        <v>7</v>
      </c>
      <c r="H186" s="44" t="s">
        <v>0</v>
      </c>
      <c r="I186" s="44"/>
      <c r="J186" s="44"/>
      <c r="K186" s="44"/>
      <c r="L186" s="45">
        <v>0</v>
      </c>
      <c r="M186" s="45"/>
      <c r="N186" s="16">
        <v>54</v>
      </c>
      <c r="O186" s="6">
        <v>1</v>
      </c>
      <c r="P186" s="6">
        <v>2</v>
      </c>
      <c r="Q186" s="6">
        <v>3</v>
      </c>
      <c r="R186" s="6">
        <v>4</v>
      </c>
      <c r="S186" s="6">
        <v>5</v>
      </c>
      <c r="T186" s="6">
        <v>6</v>
      </c>
      <c r="U186" s="6">
        <v>7</v>
      </c>
      <c r="V186" s="44" t="s">
        <v>0</v>
      </c>
      <c r="W186" s="44"/>
      <c r="X186" s="44"/>
      <c r="Y186" s="44"/>
      <c r="Z186" s="45">
        <v>0</v>
      </c>
      <c r="AA186" s="45"/>
      <c r="AB186" s="16">
        <v>55</v>
      </c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</row>
    <row r="187" spans="1:59" x14ac:dyDescent="0.25">
      <c r="A187" s="2">
        <v>0</v>
      </c>
      <c r="B187" s="2">
        <v>0</v>
      </c>
      <c r="C187" s="2">
        <v>1</v>
      </c>
      <c r="D187" s="2">
        <v>1</v>
      </c>
      <c r="E187" s="2">
        <v>0</v>
      </c>
      <c r="F187" s="2">
        <v>0</v>
      </c>
      <c r="G187" s="2">
        <v>0</v>
      </c>
      <c r="H187" s="11" t="str">
        <f>BIN2HEX(A193&amp;A192&amp;A191&amp;A190&amp;A189&amp;A188&amp;A187)</f>
        <v>0</v>
      </c>
      <c r="I187" s="11" t="str">
        <f>BIN2HEX(B193&amp;B192&amp;B191&amp;B190&amp;B189&amp;B188&amp;B187)</f>
        <v>1E</v>
      </c>
      <c r="J187" s="11" t="str">
        <f t="shared" ref="J187" si="438">BIN2HEX(C193&amp;C192&amp;C191&amp;C190&amp;C189&amp;C188&amp;C187)</f>
        <v>25</v>
      </c>
      <c r="K187" s="11" t="str">
        <f t="shared" ref="K187" si="439">BIN2HEX(D193&amp;D192&amp;D191&amp;D190&amp;D189&amp;D188&amp;D187)</f>
        <v>25</v>
      </c>
      <c r="L187" s="11" t="str">
        <f t="shared" ref="L187" si="440">BIN2HEX(E193&amp;E192&amp;E191&amp;E190&amp;E189&amp;E188&amp;E187)</f>
        <v>18</v>
      </c>
      <c r="M187" s="11" t="str">
        <f t="shared" ref="M187" si="441">BIN2HEX(F193&amp;F192&amp;F191&amp;F190&amp;F189&amp;F188&amp;F187)</f>
        <v>0</v>
      </c>
      <c r="N187" s="11" t="str">
        <f t="shared" ref="N187" si="442">BIN2HEX(G193&amp;G192&amp;G191&amp;G190&amp;G189&amp;G188&amp;G187)</f>
        <v>0</v>
      </c>
      <c r="O187" s="2">
        <v>0</v>
      </c>
      <c r="P187" s="2">
        <v>1</v>
      </c>
      <c r="Q187" s="2">
        <v>1</v>
      </c>
      <c r="R187" s="2">
        <v>1</v>
      </c>
      <c r="S187" s="2">
        <v>1</v>
      </c>
      <c r="T187" s="2">
        <v>0</v>
      </c>
      <c r="U187" s="2">
        <v>0</v>
      </c>
      <c r="V187" s="11" t="str">
        <f>BIN2HEX(O193&amp;O192&amp;O191&amp;O190&amp;O189&amp;O188&amp;O187)</f>
        <v>0</v>
      </c>
      <c r="W187" s="11" t="str">
        <f>BIN2HEX(P193&amp;P192&amp;P191&amp;P190&amp;P189&amp;P188&amp;P187)</f>
        <v>1</v>
      </c>
      <c r="X187" s="11" t="str">
        <f t="shared" ref="X187" si="443">BIN2HEX(Q193&amp;Q192&amp;Q191&amp;Q190&amp;Q189&amp;Q188&amp;Q187)</f>
        <v>39</v>
      </c>
      <c r="Y187" s="11" t="str">
        <f t="shared" ref="Y187" si="444">BIN2HEX(R193&amp;R192&amp;R191&amp;R190&amp;R189&amp;R188&amp;R187)</f>
        <v>5</v>
      </c>
      <c r="Z187" s="11" t="str">
        <f t="shared" ref="Z187" si="445">BIN2HEX(S193&amp;S192&amp;S191&amp;S190&amp;S189&amp;S188&amp;S187)</f>
        <v>3</v>
      </c>
      <c r="AA187" s="11" t="str">
        <f t="shared" ref="AA187" si="446">BIN2HEX(T193&amp;T192&amp;T191&amp;T190&amp;T189&amp;T188&amp;T187)</f>
        <v>0</v>
      </c>
      <c r="AB187" s="11" t="str">
        <f t="shared" ref="AB187" si="447">BIN2HEX(U193&amp;U192&amp;U191&amp;U190&amp;U189&amp;U188&amp;U187)</f>
        <v>0</v>
      </c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</row>
    <row r="188" spans="1:59" ht="15" customHeight="1" x14ac:dyDescent="0.25">
      <c r="A188" s="2">
        <v>0</v>
      </c>
      <c r="B188" s="2">
        <v>1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34" t="str">
        <f>"0x"&amp;H187&amp;", 0x"&amp;I187&amp;", 0x"&amp;J187&amp;", 0x"&amp;K187&amp;", 0x"&amp;L187&amp;", 0x"&amp;M187&amp;", 0x"&amp;N187</f>
        <v>0x0, 0x1E, 0x25, 0x25, 0x18, 0x0, 0x0</v>
      </c>
      <c r="I188" s="35"/>
      <c r="J188" s="35"/>
      <c r="K188" s="35"/>
      <c r="L188" s="35"/>
      <c r="M188" s="35"/>
      <c r="N188" s="35"/>
      <c r="O188" s="2">
        <v>0</v>
      </c>
      <c r="P188" s="4">
        <v>0</v>
      </c>
      <c r="Q188" s="4">
        <v>0</v>
      </c>
      <c r="R188" s="4">
        <v>0</v>
      </c>
      <c r="S188" s="4">
        <v>1</v>
      </c>
      <c r="T188" s="4">
        <v>0</v>
      </c>
      <c r="U188" s="4">
        <v>0</v>
      </c>
      <c r="V188" s="34" t="str">
        <f>"0x"&amp;V187&amp;", 0x"&amp;W187&amp;", 0x"&amp;X187&amp;", 0x"&amp;Y187&amp;", 0x"&amp;Z187&amp;", 0x"&amp;AA187&amp;", 0x"&amp;AB187</f>
        <v>0x0, 0x1, 0x39, 0x5, 0x3, 0x0, 0x0</v>
      </c>
      <c r="W188" s="35"/>
      <c r="X188" s="35"/>
      <c r="Y188" s="35"/>
      <c r="Z188" s="35"/>
      <c r="AA188" s="35"/>
      <c r="AB188" s="35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</row>
    <row r="189" spans="1:59" x14ac:dyDescent="0.25">
      <c r="A189" s="2">
        <v>0</v>
      </c>
      <c r="B189" s="2">
        <v>1</v>
      </c>
      <c r="C189" s="2">
        <v>1</v>
      </c>
      <c r="D189" s="2">
        <v>1</v>
      </c>
      <c r="E189" s="2">
        <v>0</v>
      </c>
      <c r="F189" s="2">
        <v>0</v>
      </c>
      <c r="G189" s="2">
        <v>0</v>
      </c>
      <c r="H189" s="34"/>
      <c r="I189" s="35"/>
      <c r="J189" s="35"/>
      <c r="K189" s="35"/>
      <c r="L189" s="35"/>
      <c r="M189" s="35"/>
      <c r="N189" s="35"/>
      <c r="O189" s="2">
        <v>0</v>
      </c>
      <c r="P189" s="4">
        <v>0</v>
      </c>
      <c r="Q189" s="4">
        <v>0</v>
      </c>
      <c r="R189" s="4">
        <v>1</v>
      </c>
      <c r="S189" s="4">
        <v>0</v>
      </c>
      <c r="T189" s="4">
        <v>0</v>
      </c>
      <c r="U189" s="4">
        <v>0</v>
      </c>
      <c r="V189" s="34"/>
      <c r="W189" s="35"/>
      <c r="X189" s="35"/>
      <c r="Y189" s="35"/>
      <c r="Z189" s="35"/>
      <c r="AA189" s="35"/>
      <c r="AB189" s="35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</row>
    <row r="190" spans="1:59" x14ac:dyDescent="0.25">
      <c r="A190" s="2">
        <v>0</v>
      </c>
      <c r="B190" s="2">
        <v>1</v>
      </c>
      <c r="C190" s="2">
        <v>0</v>
      </c>
      <c r="D190" s="2">
        <v>0</v>
      </c>
      <c r="E190" s="2">
        <v>1</v>
      </c>
      <c r="F190" s="2">
        <v>0</v>
      </c>
      <c r="G190" s="2">
        <v>0</v>
      </c>
      <c r="H190" s="48">
        <v>6</v>
      </c>
      <c r="I190" s="49"/>
      <c r="J190" s="49"/>
      <c r="K190" s="49"/>
      <c r="L190" s="49"/>
      <c r="M190" s="49"/>
      <c r="N190" s="49"/>
      <c r="O190" s="2">
        <v>0</v>
      </c>
      <c r="P190" s="4">
        <v>0</v>
      </c>
      <c r="Q190" s="4">
        <v>1</v>
      </c>
      <c r="R190" s="4">
        <v>0</v>
      </c>
      <c r="S190" s="4">
        <v>0</v>
      </c>
      <c r="T190" s="4">
        <v>0</v>
      </c>
      <c r="U190" s="4">
        <v>0</v>
      </c>
      <c r="V190" s="50">
        <v>7</v>
      </c>
      <c r="W190" s="49"/>
      <c r="X190" s="49"/>
      <c r="Y190" s="49"/>
      <c r="Z190" s="49"/>
      <c r="AA190" s="49"/>
      <c r="AB190" s="49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</row>
    <row r="191" spans="1:59" ht="15" customHeight="1" x14ac:dyDescent="0.25">
      <c r="A191" s="2">
        <v>0</v>
      </c>
      <c r="B191" s="2">
        <v>1</v>
      </c>
      <c r="C191" s="2">
        <v>0</v>
      </c>
      <c r="D191" s="2">
        <v>0</v>
      </c>
      <c r="E191" s="2">
        <v>1</v>
      </c>
      <c r="F191" s="2">
        <v>0</v>
      </c>
      <c r="G191" s="2">
        <v>0</v>
      </c>
      <c r="H191" s="30" t="str">
        <f>"{{"&amp;H188&amp;"}"&amp;", "&amp;$H$1&amp;"},  //"&amp;H190&amp;":"&amp;L186&amp;":"&amp;N186</f>
        <v>{{0x0, 0x1E, 0x25, 0x25, 0x18, 0x0, 0x0}, 7},  //6:0:54</v>
      </c>
      <c r="I191" s="35"/>
      <c r="J191" s="35"/>
      <c r="K191" s="35"/>
      <c r="L191" s="35"/>
      <c r="M191" s="35"/>
      <c r="N191" s="35"/>
      <c r="O191" s="2">
        <v>0</v>
      </c>
      <c r="P191" s="4">
        <v>0</v>
      </c>
      <c r="Q191" s="4">
        <v>1</v>
      </c>
      <c r="R191" s="4">
        <v>0</v>
      </c>
      <c r="S191" s="4">
        <v>0</v>
      </c>
      <c r="T191" s="4">
        <v>0</v>
      </c>
      <c r="U191" s="4">
        <v>0</v>
      </c>
      <c r="V191" s="30" t="str">
        <f>"{{"&amp;V188&amp;"}"&amp;", "&amp;$H$1&amp;"},  //"&amp;V190&amp;":"&amp;Z186&amp;":"&amp;AB186</f>
        <v>{{0x0, 0x1, 0x39, 0x5, 0x3, 0x0, 0x0}, 7},  //7:0:55</v>
      </c>
      <c r="W191" s="35"/>
      <c r="X191" s="35"/>
      <c r="Y191" s="35"/>
      <c r="Z191" s="35"/>
      <c r="AA191" s="35"/>
      <c r="AB191" s="35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</row>
    <row r="192" spans="1:59" x14ac:dyDescent="0.25">
      <c r="A192" s="2">
        <v>0</v>
      </c>
      <c r="B192" s="2">
        <v>0</v>
      </c>
      <c r="C192" s="2">
        <v>1</v>
      </c>
      <c r="D192" s="2">
        <v>1</v>
      </c>
      <c r="E192" s="2">
        <v>0</v>
      </c>
      <c r="F192" s="2">
        <v>0</v>
      </c>
      <c r="G192" s="2">
        <v>0</v>
      </c>
      <c r="H192" s="30"/>
      <c r="I192" s="35"/>
      <c r="J192" s="35"/>
      <c r="K192" s="35"/>
      <c r="L192" s="35"/>
      <c r="M192" s="35"/>
      <c r="N192" s="35"/>
      <c r="O192" s="2">
        <v>0</v>
      </c>
      <c r="P192" s="4">
        <v>0</v>
      </c>
      <c r="Q192" s="4">
        <v>1</v>
      </c>
      <c r="R192" s="4">
        <v>0</v>
      </c>
      <c r="S192" s="4">
        <v>0</v>
      </c>
      <c r="T192" s="4">
        <v>0</v>
      </c>
      <c r="U192" s="4">
        <v>0</v>
      </c>
      <c r="V192" s="30"/>
      <c r="W192" s="35"/>
      <c r="X192" s="35"/>
      <c r="Y192" s="35"/>
      <c r="Z192" s="35"/>
      <c r="AA192" s="35"/>
      <c r="AB192" s="35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</row>
    <row r="193" spans="1:56" x14ac:dyDescent="0.25">
      <c r="A193" s="2">
        <v>0</v>
      </c>
      <c r="B193" s="1">
        <v>0</v>
      </c>
      <c r="C193" s="1">
        <v>0</v>
      </c>
      <c r="D193" s="1">
        <v>0</v>
      </c>
      <c r="E193" s="1">
        <v>0</v>
      </c>
      <c r="F193" s="2">
        <v>0</v>
      </c>
      <c r="G193" s="2">
        <v>0</v>
      </c>
      <c r="O193" s="2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</row>
    <row r="194" spans="1:56" x14ac:dyDescent="0.25">
      <c r="A194" s="6">
        <v>1</v>
      </c>
      <c r="B194" s="6">
        <v>2</v>
      </c>
      <c r="C194" s="6">
        <v>3</v>
      </c>
      <c r="D194" s="6">
        <v>4</v>
      </c>
      <c r="E194" s="6">
        <v>5</v>
      </c>
      <c r="F194" s="6">
        <v>6</v>
      </c>
      <c r="G194" s="6">
        <v>7</v>
      </c>
      <c r="H194" s="44" t="s">
        <v>0</v>
      </c>
      <c r="I194" s="44"/>
      <c r="J194" s="44"/>
      <c r="K194" s="44"/>
      <c r="L194" s="45">
        <v>0</v>
      </c>
      <c r="M194" s="45"/>
      <c r="N194" s="16">
        <v>56</v>
      </c>
      <c r="O194" s="6">
        <v>1</v>
      </c>
      <c r="P194" s="6">
        <v>2</v>
      </c>
      <c r="Q194" s="6">
        <v>3</v>
      </c>
      <c r="R194" s="6">
        <v>4</v>
      </c>
      <c r="S194" s="6">
        <v>5</v>
      </c>
      <c r="T194" s="6">
        <v>6</v>
      </c>
      <c r="U194" s="6">
        <v>7</v>
      </c>
      <c r="V194" s="44" t="s">
        <v>0</v>
      </c>
      <c r="W194" s="44"/>
      <c r="X194" s="44"/>
      <c r="Y194" s="44"/>
      <c r="Z194" s="45">
        <v>0</v>
      </c>
      <c r="AA194" s="45"/>
      <c r="AB194" s="16">
        <v>57</v>
      </c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</row>
    <row r="195" spans="1:56" x14ac:dyDescent="0.25">
      <c r="A195" s="2">
        <v>0</v>
      </c>
      <c r="B195" s="2">
        <v>0</v>
      </c>
      <c r="C195" s="2">
        <v>1</v>
      </c>
      <c r="D195" s="2">
        <v>1</v>
      </c>
      <c r="E195" s="2">
        <v>0</v>
      </c>
      <c r="F195" s="2">
        <v>0</v>
      </c>
      <c r="G195" s="10">
        <v>0</v>
      </c>
      <c r="H195" s="11" t="str">
        <f>BIN2HEX(A201&amp;A200&amp;A199&amp;A198&amp;A197&amp;A196&amp;A195)</f>
        <v>0</v>
      </c>
      <c r="I195" s="11" t="str">
        <f>BIN2HEX(B201&amp;B200&amp;B199&amp;B198&amp;B197&amp;B196&amp;B195)</f>
        <v>1A</v>
      </c>
      <c r="J195" s="11" t="str">
        <f t="shared" ref="J195" si="448">BIN2HEX(C201&amp;C200&amp;C199&amp;C198&amp;C197&amp;C196&amp;C195)</f>
        <v>25</v>
      </c>
      <c r="K195" s="11" t="str">
        <f t="shared" ref="K195" si="449">BIN2HEX(D201&amp;D200&amp;D199&amp;D198&amp;D197&amp;D196&amp;D195)</f>
        <v>25</v>
      </c>
      <c r="L195" s="11" t="str">
        <f t="shared" ref="L195" si="450">BIN2HEX(E201&amp;E200&amp;E199&amp;E198&amp;E197&amp;E196&amp;E195)</f>
        <v>1A</v>
      </c>
      <c r="M195" s="11" t="str">
        <f t="shared" ref="M195" si="451">BIN2HEX(F201&amp;F200&amp;F199&amp;F198&amp;F197&amp;F196&amp;F195)</f>
        <v>0</v>
      </c>
      <c r="N195" s="11" t="str">
        <f t="shared" ref="N195" si="452">BIN2HEX(G201&amp;G200&amp;G199&amp;G198&amp;G197&amp;G196&amp;G195)</f>
        <v>0</v>
      </c>
      <c r="O195" s="2">
        <v>0</v>
      </c>
      <c r="P195" s="2">
        <v>0</v>
      </c>
      <c r="Q195" s="2">
        <v>1</v>
      </c>
      <c r="R195" s="2">
        <v>1</v>
      </c>
      <c r="S195" s="2">
        <v>0</v>
      </c>
      <c r="T195" s="2">
        <v>0</v>
      </c>
      <c r="U195" s="10">
        <v>0</v>
      </c>
      <c r="V195" s="11" t="str">
        <f>BIN2HEX(O201&amp;O200&amp;O199&amp;O198&amp;O197&amp;O196&amp;O195)</f>
        <v>0</v>
      </c>
      <c r="W195" s="11" t="str">
        <f>BIN2HEX(P201&amp;P200&amp;P199&amp;P198&amp;P197&amp;P196&amp;P195)</f>
        <v>6</v>
      </c>
      <c r="X195" s="11" t="str">
        <f t="shared" ref="X195" si="453">BIN2HEX(Q201&amp;Q200&amp;Q199&amp;Q198&amp;Q197&amp;Q196&amp;Q195)</f>
        <v>29</v>
      </c>
      <c r="Y195" s="11" t="str">
        <f t="shared" ref="Y195" si="454">BIN2HEX(R201&amp;R200&amp;R199&amp;R198&amp;R197&amp;R196&amp;R195)</f>
        <v>29</v>
      </c>
      <c r="Z195" s="11" t="str">
        <f t="shared" ref="Z195" si="455">BIN2HEX(S201&amp;S200&amp;S199&amp;S198&amp;S197&amp;S196&amp;S195)</f>
        <v>1E</v>
      </c>
      <c r="AA195" s="11" t="str">
        <f t="shared" ref="AA195" si="456">BIN2HEX(T201&amp;T200&amp;T199&amp;T198&amp;T197&amp;T196&amp;T195)</f>
        <v>0</v>
      </c>
      <c r="AB195" s="11" t="str">
        <f t="shared" ref="AB195" si="457">BIN2HEX(U201&amp;U200&amp;U199&amp;U198&amp;U197&amp;U196&amp;U195)</f>
        <v>0</v>
      </c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</row>
    <row r="196" spans="1:56" ht="15" customHeight="1" x14ac:dyDescent="0.25">
      <c r="A196" s="2">
        <v>0</v>
      </c>
      <c r="B196" s="2">
        <v>1</v>
      </c>
      <c r="C196" s="2">
        <v>0</v>
      </c>
      <c r="D196" s="2">
        <v>0</v>
      </c>
      <c r="E196" s="2">
        <v>1</v>
      </c>
      <c r="F196" s="2">
        <v>0</v>
      </c>
      <c r="G196" s="12">
        <v>0</v>
      </c>
      <c r="H196" s="34" t="str">
        <f>"0x"&amp;H195&amp;", 0x"&amp;I195&amp;", 0x"&amp;J195&amp;", 0x"&amp;K195&amp;", 0x"&amp;L195&amp;", 0x"&amp;M195&amp;", 0x"&amp;N195</f>
        <v>0x0, 0x1A, 0x25, 0x25, 0x1A, 0x0, 0x0</v>
      </c>
      <c r="I196" s="35"/>
      <c r="J196" s="35"/>
      <c r="K196" s="35"/>
      <c r="L196" s="35"/>
      <c r="M196" s="35"/>
      <c r="N196" s="35"/>
      <c r="O196" s="2">
        <v>0</v>
      </c>
      <c r="P196" s="2">
        <v>1</v>
      </c>
      <c r="Q196" s="2">
        <v>0</v>
      </c>
      <c r="R196" s="2">
        <v>0</v>
      </c>
      <c r="S196" s="2">
        <v>1</v>
      </c>
      <c r="T196" s="2">
        <v>0</v>
      </c>
      <c r="U196" s="12">
        <v>0</v>
      </c>
      <c r="V196" s="34" t="str">
        <f>"0x"&amp;V195&amp;", 0x"&amp;W195&amp;", 0x"&amp;X195&amp;", 0x"&amp;Y195&amp;", 0x"&amp;Z195&amp;", 0x"&amp;AA195&amp;", 0x"&amp;AB195</f>
        <v>0x0, 0x6, 0x29, 0x29, 0x1E, 0x0, 0x0</v>
      </c>
      <c r="W196" s="35"/>
      <c r="X196" s="35"/>
      <c r="Y196" s="35"/>
      <c r="Z196" s="35"/>
      <c r="AA196" s="35"/>
      <c r="AB196" s="35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</row>
    <row r="197" spans="1:56" x14ac:dyDescent="0.25">
      <c r="A197" s="2">
        <v>0</v>
      </c>
      <c r="B197" s="2">
        <v>0</v>
      </c>
      <c r="C197" s="2">
        <v>1</v>
      </c>
      <c r="D197" s="2">
        <v>1</v>
      </c>
      <c r="E197" s="2">
        <v>0</v>
      </c>
      <c r="F197" s="2">
        <v>0</v>
      </c>
      <c r="G197" s="12">
        <v>0</v>
      </c>
      <c r="H197" s="34"/>
      <c r="I197" s="35"/>
      <c r="J197" s="35"/>
      <c r="K197" s="35"/>
      <c r="L197" s="35"/>
      <c r="M197" s="35"/>
      <c r="N197" s="35"/>
      <c r="O197" s="2">
        <v>0</v>
      </c>
      <c r="P197" s="2">
        <v>1</v>
      </c>
      <c r="Q197" s="2">
        <v>0</v>
      </c>
      <c r="R197" s="2">
        <v>0</v>
      </c>
      <c r="S197" s="2">
        <v>1</v>
      </c>
      <c r="T197" s="2">
        <v>0</v>
      </c>
      <c r="U197" s="12">
        <v>0</v>
      </c>
      <c r="V197" s="34"/>
      <c r="W197" s="35"/>
      <c r="X197" s="35"/>
      <c r="Y197" s="35"/>
      <c r="Z197" s="35"/>
      <c r="AA197" s="35"/>
      <c r="AB197" s="35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</row>
    <row r="198" spans="1:56" x14ac:dyDescent="0.25">
      <c r="A198" s="2">
        <v>0</v>
      </c>
      <c r="B198" s="2">
        <v>1</v>
      </c>
      <c r="C198" s="2">
        <v>0</v>
      </c>
      <c r="D198" s="2">
        <v>0</v>
      </c>
      <c r="E198" s="2">
        <v>1</v>
      </c>
      <c r="F198" s="2">
        <v>0</v>
      </c>
      <c r="G198" s="12">
        <v>0</v>
      </c>
      <c r="H198" s="48">
        <v>8</v>
      </c>
      <c r="I198" s="49"/>
      <c r="J198" s="49"/>
      <c r="K198" s="49"/>
      <c r="L198" s="49"/>
      <c r="M198" s="49"/>
      <c r="N198" s="49"/>
      <c r="O198" s="2">
        <v>0</v>
      </c>
      <c r="P198" s="2">
        <v>0</v>
      </c>
      <c r="Q198" s="2">
        <v>1</v>
      </c>
      <c r="R198" s="2">
        <v>1</v>
      </c>
      <c r="S198" s="2">
        <v>1</v>
      </c>
      <c r="T198" s="2">
        <v>0</v>
      </c>
      <c r="U198" s="12">
        <v>0</v>
      </c>
      <c r="V198" s="48">
        <v>9</v>
      </c>
      <c r="W198" s="49"/>
      <c r="X198" s="49"/>
      <c r="Y198" s="49"/>
      <c r="Z198" s="49"/>
      <c r="AA198" s="49"/>
      <c r="AB198" s="49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</row>
    <row r="199" spans="1:56" ht="15" customHeight="1" x14ac:dyDescent="0.25">
      <c r="A199" s="2">
        <v>0</v>
      </c>
      <c r="B199" s="2">
        <v>1</v>
      </c>
      <c r="C199" s="2">
        <v>0</v>
      </c>
      <c r="D199" s="2">
        <v>0</v>
      </c>
      <c r="E199" s="2">
        <v>1</v>
      </c>
      <c r="F199" s="2">
        <v>0</v>
      </c>
      <c r="G199" s="12">
        <v>0</v>
      </c>
      <c r="H199" s="30" t="str">
        <f>"{{"&amp;H196&amp;"}"&amp;", "&amp;$H$1&amp;"},  //"&amp;H198&amp;":"&amp;L194&amp;":"&amp;N194</f>
        <v>{{0x0, 0x1A, 0x25, 0x25, 0x1A, 0x0, 0x0}, 7},  //8:0:56</v>
      </c>
      <c r="I199" s="35"/>
      <c r="J199" s="35"/>
      <c r="K199" s="35"/>
      <c r="L199" s="35"/>
      <c r="M199" s="35"/>
      <c r="N199" s="35"/>
      <c r="O199" s="2">
        <v>0</v>
      </c>
      <c r="P199" s="2">
        <v>0</v>
      </c>
      <c r="Q199" s="2">
        <v>0</v>
      </c>
      <c r="R199" s="2">
        <v>0</v>
      </c>
      <c r="S199" s="2">
        <v>1</v>
      </c>
      <c r="T199" s="2">
        <v>0</v>
      </c>
      <c r="U199" s="12">
        <v>0</v>
      </c>
      <c r="V199" s="30" t="str">
        <f>"{{"&amp;V196&amp;"}"&amp;", "&amp;$H$1&amp;"},  //"&amp;V198&amp;":"&amp;Z194&amp;":"&amp;AB194</f>
        <v>{{0x0, 0x6, 0x29, 0x29, 0x1E, 0x0, 0x0}, 7},  //9:0:57</v>
      </c>
      <c r="W199" s="35"/>
      <c r="X199" s="35"/>
      <c r="Y199" s="35"/>
      <c r="Z199" s="35"/>
      <c r="AA199" s="35"/>
      <c r="AB199" s="35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</row>
    <row r="200" spans="1:56" x14ac:dyDescent="0.25">
      <c r="A200" s="2">
        <v>0</v>
      </c>
      <c r="B200" s="2">
        <v>0</v>
      </c>
      <c r="C200" s="2">
        <v>1</v>
      </c>
      <c r="D200" s="2">
        <v>1</v>
      </c>
      <c r="E200" s="2">
        <v>0</v>
      </c>
      <c r="F200" s="2">
        <v>0</v>
      </c>
      <c r="G200" s="12">
        <v>0</v>
      </c>
      <c r="H200" s="30"/>
      <c r="I200" s="35"/>
      <c r="J200" s="35"/>
      <c r="K200" s="35"/>
      <c r="L200" s="35"/>
      <c r="M200" s="35"/>
      <c r="N200" s="35"/>
      <c r="O200" s="2">
        <v>0</v>
      </c>
      <c r="P200" s="2">
        <v>0</v>
      </c>
      <c r="Q200" s="2">
        <v>1</v>
      </c>
      <c r="R200" s="2">
        <v>1</v>
      </c>
      <c r="S200" s="2">
        <v>0</v>
      </c>
      <c r="T200" s="2">
        <v>0</v>
      </c>
      <c r="U200" s="12">
        <v>0</v>
      </c>
      <c r="V200" s="30"/>
      <c r="W200" s="35"/>
      <c r="X200" s="35"/>
      <c r="Y200" s="35"/>
      <c r="Z200" s="35"/>
      <c r="AA200" s="35"/>
      <c r="AB200" s="35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</row>
    <row r="201" spans="1:56" x14ac:dyDescent="0.25">
      <c r="A201" s="2">
        <v>0</v>
      </c>
      <c r="B201" s="1">
        <v>0</v>
      </c>
      <c r="C201" s="1">
        <v>0</v>
      </c>
      <c r="D201" s="1">
        <v>0</v>
      </c>
      <c r="E201" s="1">
        <v>0</v>
      </c>
      <c r="F201" s="2">
        <v>0</v>
      </c>
      <c r="G201" s="12">
        <v>0</v>
      </c>
      <c r="O201" s="2">
        <v>0</v>
      </c>
      <c r="P201" s="1">
        <v>0</v>
      </c>
      <c r="Q201" s="1">
        <v>0</v>
      </c>
      <c r="R201" s="1">
        <v>0</v>
      </c>
      <c r="S201" s="1">
        <v>0</v>
      </c>
      <c r="T201" s="2">
        <v>0</v>
      </c>
      <c r="U201" s="12">
        <v>0</v>
      </c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</row>
    <row r="202" spans="1:56" x14ac:dyDescent="0.25">
      <c r="A202" s="6">
        <v>1</v>
      </c>
      <c r="B202" s="6">
        <v>2</v>
      </c>
      <c r="C202" s="6">
        <v>3</v>
      </c>
      <c r="D202" s="6">
        <v>4</v>
      </c>
      <c r="E202" s="6">
        <v>5</v>
      </c>
      <c r="F202" s="6">
        <v>6</v>
      </c>
      <c r="G202" s="6">
        <v>7</v>
      </c>
      <c r="H202" s="44" t="s">
        <v>0</v>
      </c>
      <c r="I202" s="44"/>
      <c r="J202" s="44"/>
      <c r="K202" s="44"/>
      <c r="L202" s="45">
        <v>0</v>
      </c>
      <c r="M202" s="45"/>
      <c r="N202" s="16">
        <v>58</v>
      </c>
      <c r="O202" s="6">
        <v>1</v>
      </c>
      <c r="P202" s="6">
        <v>2</v>
      </c>
      <c r="Q202" s="6">
        <v>3</v>
      </c>
      <c r="R202" s="6">
        <v>4</v>
      </c>
      <c r="S202" s="6">
        <v>5</v>
      </c>
      <c r="T202" s="6">
        <v>6</v>
      </c>
      <c r="U202" s="6">
        <v>7</v>
      </c>
      <c r="V202" s="44" t="s">
        <v>0</v>
      </c>
      <c r="W202" s="44"/>
      <c r="X202" s="44"/>
      <c r="Y202" s="44"/>
      <c r="Z202" s="45">
        <v>0</v>
      </c>
      <c r="AA202" s="45"/>
      <c r="AB202" s="16">
        <v>59</v>
      </c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</row>
    <row r="203" spans="1:56" x14ac:dyDescent="0.25">
      <c r="A203" s="10">
        <v>0</v>
      </c>
      <c r="B203" s="10">
        <v>0</v>
      </c>
      <c r="C203" s="10">
        <v>0</v>
      </c>
      <c r="D203" s="10">
        <v>0</v>
      </c>
      <c r="E203" s="10">
        <v>0</v>
      </c>
      <c r="F203" s="10">
        <v>0</v>
      </c>
      <c r="G203" s="10">
        <v>0</v>
      </c>
      <c r="H203" s="11" t="str">
        <f>BIN2HEX(A209&amp;A208&amp;A207&amp;A206&amp;A205&amp;A204&amp;A203)</f>
        <v>0</v>
      </c>
      <c r="I203" s="11" t="str">
        <f>BIN2HEX(B209&amp;B208&amp;B207&amp;B206&amp;B205&amp;B204&amp;B203)</f>
        <v>0</v>
      </c>
      <c r="J203" s="11" t="str">
        <f t="shared" ref="J203" si="458">BIN2HEX(C209&amp;C208&amp;C207&amp;C206&amp;C205&amp;C204&amp;C203)</f>
        <v>0</v>
      </c>
      <c r="K203" s="11" t="str">
        <f t="shared" ref="K203" si="459">BIN2HEX(D209&amp;D208&amp;D207&amp;D206&amp;D205&amp;D204&amp;D203)</f>
        <v>36</v>
      </c>
      <c r="L203" s="11" t="str">
        <f t="shared" ref="L203" si="460">BIN2HEX(E209&amp;E208&amp;E207&amp;E206&amp;E205&amp;E204&amp;E203)</f>
        <v>36</v>
      </c>
      <c r="M203" s="11" t="str">
        <f t="shared" ref="M203" si="461">BIN2HEX(F209&amp;F208&amp;F207&amp;F206&amp;F205&amp;F204&amp;F203)</f>
        <v>0</v>
      </c>
      <c r="N203" s="11" t="str">
        <f t="shared" ref="N203" si="462">BIN2HEX(G209&amp;G208&amp;G207&amp;G206&amp;G205&amp;G204&amp;G203)</f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11" t="str">
        <f>BIN2HEX(O209&amp;O208&amp;O207&amp;O206&amp;O205&amp;O204&amp;O203)</f>
        <v>0</v>
      </c>
      <c r="W203" s="11" t="str">
        <f>BIN2HEX(P209&amp;P208&amp;P207&amp;P206&amp;P205&amp;P204&amp;P203)</f>
        <v>0</v>
      </c>
      <c r="X203" s="11" t="str">
        <f t="shared" ref="X203" si="463">BIN2HEX(Q209&amp;Q208&amp;Q207&amp;Q206&amp;Q205&amp;Q204&amp;Q203)</f>
        <v>0</v>
      </c>
      <c r="Y203" s="11" t="str">
        <f t="shared" ref="Y203" si="464">BIN2HEX(R209&amp;R208&amp;R207&amp;R206&amp;R205&amp;R204&amp;R203)</f>
        <v>36</v>
      </c>
      <c r="Z203" s="11" t="str">
        <f t="shared" ref="Z203" si="465">BIN2HEX(S209&amp;S208&amp;S207&amp;S206&amp;S205&amp;S204&amp;S203)</f>
        <v>76</v>
      </c>
      <c r="AA203" s="11" t="str">
        <f t="shared" ref="AA203" si="466">BIN2HEX(T209&amp;T208&amp;T207&amp;T206&amp;T205&amp;T204&amp;T203)</f>
        <v>0</v>
      </c>
      <c r="AB203" s="11" t="str">
        <f t="shared" ref="AB203" si="467">BIN2HEX(U209&amp;U208&amp;U207&amp;U206&amp;U205&amp;U204&amp;U203)</f>
        <v>0</v>
      </c>
      <c r="AC203" s="29" t="str">
        <f>H207
&amp;CHAR(10)&amp;V207
&amp;CHAR(10)&amp;H215
&amp;CHAR(10)&amp;V215
&amp;CHAR(10)&amp;H223
&amp;CHAR(10)&amp;V223
&amp;CHAR(10)&amp;H231
&amp;CHAR(10)&amp;V231
&amp;CHAR(10)&amp;H239
&amp;CHAR(10)&amp;V239</f>
        <v xml:space="preserve">{{0x0, 0x0, 0x0, 0x36, 0x36, 0x0, 0x0}, 7},  //::0:58
{{0x0, 0x0, 0x0, 0x36, 0x76, 0x0, 0x0}, 7},  //;:0:59
{{0x0, 0x8, 0x14, 0x22, 0x41, 0x0, 0x0}, 7},  //&gt;:0:60
{{0x0, 0x14, 0x14, 0x14, 0x14, 0x0, 0x0}, 7},  //=:0:61
{{0x0, 0x41, 0x22, 0x14, 0x8, 0x0, 0x0}, 7},  //1:0:62
{{0x0, 0x2, 0x29, 0x5, 0x2, 0x0, 0x0}, 7},  //?:0:63
{{0x0, 0x0, 0x0, 0x0, 0x0, 0x0, 0x0}, 7},  //@:0:64
</v>
      </c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</row>
    <row r="204" spans="1:56" ht="15" customHeight="1" x14ac:dyDescent="0.25">
      <c r="A204" s="10">
        <v>0</v>
      </c>
      <c r="B204" s="10">
        <v>0</v>
      </c>
      <c r="C204" s="10">
        <v>0</v>
      </c>
      <c r="D204" s="10">
        <v>1</v>
      </c>
      <c r="E204" s="10">
        <v>1</v>
      </c>
      <c r="F204" s="10">
        <v>0</v>
      </c>
      <c r="G204" s="10">
        <v>0</v>
      </c>
      <c r="H204" s="34" t="str">
        <f>"0x"&amp;H203&amp;", 0x"&amp;I203&amp;", 0x"&amp;J203&amp;", 0x"&amp;K203&amp;", 0x"&amp;L203&amp;", 0x"&amp;M203&amp;", 0x"&amp;N203</f>
        <v>0x0, 0x0, 0x0, 0x36, 0x36, 0x0, 0x0</v>
      </c>
      <c r="I204" s="35"/>
      <c r="J204" s="35"/>
      <c r="K204" s="35"/>
      <c r="L204" s="35"/>
      <c r="M204" s="35"/>
      <c r="N204" s="35"/>
      <c r="O204" s="4">
        <v>0</v>
      </c>
      <c r="P204" s="2">
        <v>0</v>
      </c>
      <c r="Q204" s="10">
        <v>0</v>
      </c>
      <c r="R204" s="10">
        <v>1</v>
      </c>
      <c r="S204" s="10">
        <v>1</v>
      </c>
      <c r="T204" s="10">
        <v>0</v>
      </c>
      <c r="U204" s="2">
        <v>0</v>
      </c>
      <c r="V204" s="34" t="str">
        <f>"0x"&amp;V203&amp;", 0x"&amp;W203&amp;", 0x"&amp;X203&amp;", 0x"&amp;Y203&amp;", 0x"&amp;Z203&amp;", 0x"&amp;AA203&amp;", 0x"&amp;AB203</f>
        <v>0x0, 0x0, 0x0, 0x36, 0x76, 0x0, 0x0</v>
      </c>
      <c r="W204" s="35"/>
      <c r="X204" s="35"/>
      <c r="Y204" s="35"/>
      <c r="Z204" s="35"/>
      <c r="AA204" s="35"/>
      <c r="AB204" s="35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</row>
    <row r="205" spans="1:56" x14ac:dyDescent="0.25">
      <c r="A205" s="10">
        <v>0</v>
      </c>
      <c r="B205" s="10">
        <v>0</v>
      </c>
      <c r="C205" s="10">
        <v>0</v>
      </c>
      <c r="D205" s="10">
        <v>1</v>
      </c>
      <c r="E205" s="10">
        <v>1</v>
      </c>
      <c r="F205" s="10">
        <v>0</v>
      </c>
      <c r="G205" s="10">
        <v>0</v>
      </c>
      <c r="H205" s="34"/>
      <c r="I205" s="35"/>
      <c r="J205" s="35"/>
      <c r="K205" s="35"/>
      <c r="L205" s="35"/>
      <c r="M205" s="35"/>
      <c r="N205" s="35"/>
      <c r="O205" s="4">
        <v>0</v>
      </c>
      <c r="P205" s="2">
        <v>0</v>
      </c>
      <c r="Q205" s="10">
        <v>0</v>
      </c>
      <c r="R205" s="10">
        <v>1</v>
      </c>
      <c r="S205" s="10">
        <v>1</v>
      </c>
      <c r="T205" s="10">
        <v>0</v>
      </c>
      <c r="U205" s="2">
        <v>0</v>
      </c>
      <c r="V205" s="34"/>
      <c r="W205" s="35"/>
      <c r="X205" s="35"/>
      <c r="Y205" s="35"/>
      <c r="Z205" s="35"/>
      <c r="AA205" s="35"/>
      <c r="AB205" s="35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</row>
    <row r="206" spans="1:56" x14ac:dyDescent="0.25">
      <c r="A206" s="10">
        <v>0</v>
      </c>
      <c r="B206" s="10">
        <v>0</v>
      </c>
      <c r="C206" s="10">
        <v>0</v>
      </c>
      <c r="D206" s="10">
        <v>0</v>
      </c>
      <c r="E206" s="10">
        <v>0</v>
      </c>
      <c r="F206" s="10">
        <v>0</v>
      </c>
      <c r="G206" s="10">
        <v>0</v>
      </c>
      <c r="H206" s="48" t="s">
        <v>51</v>
      </c>
      <c r="I206" s="49"/>
      <c r="J206" s="49"/>
      <c r="K206" s="49"/>
      <c r="L206" s="49"/>
      <c r="M206" s="49"/>
      <c r="N206" s="49"/>
      <c r="O206" s="4">
        <v>0</v>
      </c>
      <c r="P206" s="2">
        <v>0</v>
      </c>
      <c r="Q206" s="10">
        <v>0</v>
      </c>
      <c r="R206" s="10">
        <v>0</v>
      </c>
      <c r="S206" s="10">
        <v>0</v>
      </c>
      <c r="T206" s="10">
        <v>0</v>
      </c>
      <c r="U206" s="2">
        <v>0</v>
      </c>
      <c r="V206" s="48" t="s">
        <v>50</v>
      </c>
      <c r="W206" s="49"/>
      <c r="X206" s="49"/>
      <c r="Y206" s="49"/>
      <c r="Z206" s="49"/>
      <c r="AA206" s="49"/>
      <c r="AB206" s="49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</row>
    <row r="207" spans="1:56" ht="15" customHeight="1" x14ac:dyDescent="0.25">
      <c r="A207" s="10">
        <v>0</v>
      </c>
      <c r="B207" s="10">
        <v>0</v>
      </c>
      <c r="C207" s="10">
        <v>0</v>
      </c>
      <c r="D207" s="10">
        <v>1</v>
      </c>
      <c r="E207" s="10">
        <v>1</v>
      </c>
      <c r="F207" s="10">
        <v>0</v>
      </c>
      <c r="G207" s="10">
        <v>0</v>
      </c>
      <c r="H207" s="30" t="str">
        <f>"{{"&amp;H204&amp;"}"&amp;", "&amp;$H$1&amp;"},  //"&amp;H206&amp;":"&amp;L202&amp;":"&amp;N202</f>
        <v>{{0x0, 0x0, 0x0, 0x36, 0x36, 0x0, 0x0}, 7},  //::0:58</v>
      </c>
      <c r="I207" s="35"/>
      <c r="J207" s="35"/>
      <c r="K207" s="35"/>
      <c r="L207" s="35"/>
      <c r="M207" s="35"/>
      <c r="N207" s="35"/>
      <c r="O207" s="4">
        <v>0</v>
      </c>
      <c r="P207" s="2">
        <v>0</v>
      </c>
      <c r="Q207" s="10">
        <v>0</v>
      </c>
      <c r="R207" s="10">
        <v>1</v>
      </c>
      <c r="S207" s="10">
        <v>1</v>
      </c>
      <c r="T207" s="10">
        <v>0</v>
      </c>
      <c r="U207" s="2">
        <v>0</v>
      </c>
      <c r="V207" s="30" t="str">
        <f>"{{"&amp;V204&amp;"}"&amp;", "&amp;$H$1&amp;"},  //"&amp;V206&amp;":"&amp;Z202&amp;":"&amp;AB202</f>
        <v>{{0x0, 0x0, 0x0, 0x36, 0x76, 0x0, 0x0}, 7},  //;:0:59</v>
      </c>
      <c r="W207" s="35"/>
      <c r="X207" s="35"/>
      <c r="Y207" s="35"/>
      <c r="Z207" s="35"/>
      <c r="AA207" s="35"/>
      <c r="AB207" s="35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</row>
    <row r="208" spans="1:56" x14ac:dyDescent="0.25">
      <c r="A208" s="10">
        <v>0</v>
      </c>
      <c r="B208" s="10">
        <v>0</v>
      </c>
      <c r="C208" s="10">
        <v>0</v>
      </c>
      <c r="D208" s="10">
        <v>1</v>
      </c>
      <c r="E208" s="10">
        <v>1</v>
      </c>
      <c r="F208" s="10">
        <v>0</v>
      </c>
      <c r="G208" s="10">
        <v>0</v>
      </c>
      <c r="H208" s="30"/>
      <c r="I208" s="35"/>
      <c r="J208" s="35"/>
      <c r="K208" s="35"/>
      <c r="L208" s="35"/>
      <c r="M208" s="35"/>
      <c r="N208" s="35"/>
      <c r="O208" s="4">
        <v>0</v>
      </c>
      <c r="P208" s="2">
        <v>0</v>
      </c>
      <c r="Q208" s="10">
        <v>0</v>
      </c>
      <c r="R208" s="10">
        <v>1</v>
      </c>
      <c r="S208" s="10">
        <v>1</v>
      </c>
      <c r="T208" s="10">
        <v>0</v>
      </c>
      <c r="U208" s="2">
        <v>0</v>
      </c>
      <c r="V208" s="30"/>
      <c r="W208" s="35"/>
      <c r="X208" s="35"/>
      <c r="Y208" s="35"/>
      <c r="Z208" s="35"/>
      <c r="AA208" s="35"/>
      <c r="AB208" s="35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</row>
    <row r="209" spans="1:56" x14ac:dyDescent="0.25">
      <c r="A209" s="10">
        <v>0</v>
      </c>
      <c r="B209" s="10">
        <v>0</v>
      </c>
      <c r="C209" s="10">
        <v>0</v>
      </c>
      <c r="D209" s="10">
        <v>0</v>
      </c>
      <c r="E209" s="10">
        <v>0</v>
      </c>
      <c r="F209" s="10">
        <v>0</v>
      </c>
      <c r="G209" s="10">
        <v>0</v>
      </c>
      <c r="O209" s="4">
        <v>0</v>
      </c>
      <c r="P209" s="2">
        <v>0</v>
      </c>
      <c r="Q209" s="10">
        <v>0</v>
      </c>
      <c r="R209" s="10">
        <v>0</v>
      </c>
      <c r="S209" s="10">
        <v>1</v>
      </c>
      <c r="T209" s="10">
        <v>0</v>
      </c>
      <c r="U209" s="2">
        <v>0</v>
      </c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</row>
    <row r="210" spans="1:56" x14ac:dyDescent="0.25">
      <c r="A210" s="6">
        <v>1</v>
      </c>
      <c r="B210" s="6">
        <v>2</v>
      </c>
      <c r="C210" s="6">
        <v>3</v>
      </c>
      <c r="D210" s="6">
        <v>4</v>
      </c>
      <c r="E210" s="6">
        <v>5</v>
      </c>
      <c r="F210" s="6">
        <v>6</v>
      </c>
      <c r="G210" s="6">
        <v>7</v>
      </c>
      <c r="H210" s="44" t="s">
        <v>0</v>
      </c>
      <c r="I210" s="44"/>
      <c r="J210" s="44"/>
      <c r="K210" s="44"/>
      <c r="L210" s="45">
        <v>0</v>
      </c>
      <c r="M210" s="45"/>
      <c r="N210" s="16">
        <v>60</v>
      </c>
      <c r="O210" s="6">
        <v>1</v>
      </c>
      <c r="P210" s="6">
        <v>2</v>
      </c>
      <c r="Q210" s="6">
        <v>3</v>
      </c>
      <c r="R210" s="6">
        <v>4</v>
      </c>
      <c r="S210" s="6">
        <v>5</v>
      </c>
      <c r="T210" s="6">
        <v>6</v>
      </c>
      <c r="U210" s="6">
        <v>7</v>
      </c>
      <c r="V210" s="44" t="s">
        <v>0</v>
      </c>
      <c r="W210" s="44"/>
      <c r="X210" s="44"/>
      <c r="Y210" s="44"/>
      <c r="Z210" s="45">
        <v>0</v>
      </c>
      <c r="AA210" s="45"/>
      <c r="AB210" s="16">
        <v>61</v>
      </c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</row>
    <row r="211" spans="1:56" x14ac:dyDescent="0.25">
      <c r="A211" s="10">
        <v>0</v>
      </c>
      <c r="B211" s="10">
        <v>0</v>
      </c>
      <c r="C211" s="10">
        <v>0</v>
      </c>
      <c r="D211" s="10">
        <v>0</v>
      </c>
      <c r="E211" s="10">
        <v>1</v>
      </c>
      <c r="F211" s="10">
        <v>0</v>
      </c>
      <c r="G211" s="10">
        <v>0</v>
      </c>
      <c r="H211" s="11" t="str">
        <f>BIN2HEX(A217&amp;A216&amp;A215&amp;A214&amp;A213&amp;A212&amp;A211)</f>
        <v>0</v>
      </c>
      <c r="I211" s="11" t="str">
        <f>BIN2HEX(B217&amp;B216&amp;B215&amp;B214&amp;B213&amp;B212&amp;B211)</f>
        <v>8</v>
      </c>
      <c r="J211" s="11" t="str">
        <f t="shared" ref="J211" si="468">BIN2HEX(C217&amp;C216&amp;C215&amp;C214&amp;C213&amp;C212&amp;C211)</f>
        <v>14</v>
      </c>
      <c r="K211" s="11" t="str">
        <f t="shared" ref="K211" si="469">BIN2HEX(D217&amp;D216&amp;D215&amp;D214&amp;D213&amp;D212&amp;D211)</f>
        <v>22</v>
      </c>
      <c r="L211" s="11" t="str">
        <f t="shared" ref="L211" si="470">BIN2HEX(E217&amp;E216&amp;E215&amp;E214&amp;E213&amp;E212&amp;E211)</f>
        <v>41</v>
      </c>
      <c r="M211" s="11" t="str">
        <f t="shared" ref="M211" si="471">BIN2HEX(F217&amp;F216&amp;F215&amp;F214&amp;F213&amp;F212&amp;F211)</f>
        <v>0</v>
      </c>
      <c r="N211" s="11" t="str">
        <f t="shared" ref="N211" si="472">BIN2HEX(G217&amp;G216&amp;G215&amp;G214&amp;G213&amp;G212&amp;G211)</f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11" t="str">
        <f>BIN2HEX(O217&amp;O216&amp;O215&amp;O214&amp;O213&amp;O212&amp;O211)</f>
        <v>0</v>
      </c>
      <c r="W211" s="11" t="str">
        <f>BIN2HEX(P217&amp;P216&amp;P215&amp;P214&amp;P213&amp;P212&amp;P211)</f>
        <v>14</v>
      </c>
      <c r="X211" s="11" t="str">
        <f t="shared" ref="X211" si="473">BIN2HEX(Q217&amp;Q216&amp;Q215&amp;Q214&amp;Q213&amp;Q212&amp;Q211)</f>
        <v>14</v>
      </c>
      <c r="Y211" s="11" t="str">
        <f t="shared" ref="Y211" si="474">BIN2HEX(R217&amp;R216&amp;R215&amp;R214&amp;R213&amp;R212&amp;R211)</f>
        <v>14</v>
      </c>
      <c r="Z211" s="11" t="str">
        <f t="shared" ref="Z211" si="475">BIN2HEX(S217&amp;S216&amp;S215&amp;S214&amp;S213&amp;S212&amp;S211)</f>
        <v>14</v>
      </c>
      <c r="AA211" s="11" t="str">
        <f t="shared" ref="AA211" si="476">BIN2HEX(T217&amp;T216&amp;T215&amp;T214&amp;T213&amp;T212&amp;T211)</f>
        <v>0</v>
      </c>
      <c r="AB211" s="11" t="str">
        <f t="shared" ref="AB211" si="477">BIN2HEX(U217&amp;U216&amp;U215&amp;U214&amp;U213&amp;U212&amp;U211)</f>
        <v>0</v>
      </c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</row>
    <row r="212" spans="1:56" ht="15" customHeight="1" x14ac:dyDescent="0.25">
      <c r="A212" s="10">
        <v>0</v>
      </c>
      <c r="B212" s="10">
        <v>0</v>
      </c>
      <c r="C212" s="10">
        <v>0</v>
      </c>
      <c r="D212" s="10">
        <v>1</v>
      </c>
      <c r="E212" s="10">
        <v>0</v>
      </c>
      <c r="F212" s="10">
        <v>0</v>
      </c>
      <c r="G212" s="10">
        <v>0</v>
      </c>
      <c r="H212" s="34" t="str">
        <f>"0x"&amp;H211&amp;", 0x"&amp;I211&amp;", 0x"&amp;J211&amp;", 0x"&amp;K211&amp;", 0x"&amp;L211&amp;", 0x"&amp;M211&amp;", 0x"&amp;N211</f>
        <v>0x0, 0x8, 0x14, 0x22, 0x41, 0x0, 0x0</v>
      </c>
      <c r="I212" s="35"/>
      <c r="J212" s="35"/>
      <c r="K212" s="35"/>
      <c r="L212" s="35"/>
      <c r="M212" s="35"/>
      <c r="N212" s="35"/>
      <c r="O212" s="4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34" t="str">
        <f>"0x"&amp;V211&amp;", 0x"&amp;W211&amp;", 0x"&amp;X211&amp;", 0x"&amp;Y211&amp;", 0x"&amp;Z211&amp;", 0x"&amp;AA211&amp;", 0x"&amp;AB211</f>
        <v>0x0, 0x14, 0x14, 0x14, 0x14, 0x0, 0x0</v>
      </c>
      <c r="W212" s="35"/>
      <c r="X212" s="35"/>
      <c r="Y212" s="35"/>
      <c r="Z212" s="35"/>
      <c r="AA212" s="35"/>
      <c r="AB212" s="35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</row>
    <row r="213" spans="1:56" x14ac:dyDescent="0.25">
      <c r="A213" s="10">
        <v>0</v>
      </c>
      <c r="B213" s="10">
        <v>0</v>
      </c>
      <c r="C213" s="10">
        <v>1</v>
      </c>
      <c r="D213" s="10">
        <v>0</v>
      </c>
      <c r="E213" s="10">
        <v>0</v>
      </c>
      <c r="F213" s="10">
        <v>0</v>
      </c>
      <c r="G213" s="10">
        <v>0</v>
      </c>
      <c r="H213" s="34"/>
      <c r="I213" s="35"/>
      <c r="J213" s="35"/>
      <c r="K213" s="35"/>
      <c r="L213" s="35"/>
      <c r="M213" s="35"/>
      <c r="N213" s="35"/>
      <c r="O213" s="4">
        <v>0</v>
      </c>
      <c r="P213" s="10">
        <v>1</v>
      </c>
      <c r="Q213" s="10">
        <v>1</v>
      </c>
      <c r="R213" s="10">
        <v>1</v>
      </c>
      <c r="S213" s="10">
        <v>1</v>
      </c>
      <c r="T213" s="10">
        <v>0</v>
      </c>
      <c r="U213" s="10">
        <v>0</v>
      </c>
      <c r="V213" s="34"/>
      <c r="W213" s="35"/>
      <c r="X213" s="35"/>
      <c r="Y213" s="35"/>
      <c r="Z213" s="35"/>
      <c r="AA213" s="35"/>
      <c r="AB213" s="35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</row>
    <row r="214" spans="1:56" x14ac:dyDescent="0.25">
      <c r="A214" s="10">
        <v>0</v>
      </c>
      <c r="B214" s="10">
        <v>1</v>
      </c>
      <c r="C214" s="10">
        <v>0</v>
      </c>
      <c r="D214" s="10">
        <v>0</v>
      </c>
      <c r="E214" s="10">
        <v>0</v>
      </c>
      <c r="F214" s="10">
        <v>0</v>
      </c>
      <c r="G214" s="10">
        <v>0</v>
      </c>
      <c r="H214" s="48" t="s">
        <v>49</v>
      </c>
      <c r="I214" s="49"/>
      <c r="J214" s="49"/>
      <c r="K214" s="49"/>
      <c r="L214" s="49"/>
      <c r="M214" s="49"/>
      <c r="N214" s="49"/>
      <c r="O214" s="4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48" t="s">
        <v>52</v>
      </c>
      <c r="W214" s="49"/>
      <c r="X214" s="49"/>
      <c r="Y214" s="49"/>
      <c r="Z214" s="49"/>
      <c r="AA214" s="49"/>
      <c r="AB214" s="49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</row>
    <row r="215" spans="1:56" ht="15" customHeight="1" x14ac:dyDescent="0.25">
      <c r="A215" s="10">
        <v>0</v>
      </c>
      <c r="B215" s="10">
        <v>0</v>
      </c>
      <c r="C215" s="10">
        <v>1</v>
      </c>
      <c r="D215" s="10">
        <v>0</v>
      </c>
      <c r="E215" s="10">
        <v>0</v>
      </c>
      <c r="F215" s="10">
        <v>0</v>
      </c>
      <c r="G215" s="10">
        <v>0</v>
      </c>
      <c r="H215" s="30" t="str">
        <f>"{{"&amp;H212&amp;"}"&amp;", "&amp;$H$1&amp;"},  //"&amp;H214&amp;":"&amp;L210&amp;":"&amp;N210</f>
        <v>{{0x0, 0x8, 0x14, 0x22, 0x41, 0x0, 0x0}, 7},  //&gt;:0:60</v>
      </c>
      <c r="I215" s="35"/>
      <c r="J215" s="35"/>
      <c r="K215" s="35"/>
      <c r="L215" s="35"/>
      <c r="M215" s="35"/>
      <c r="N215" s="35"/>
      <c r="O215" s="4">
        <v>0</v>
      </c>
      <c r="P215" s="10">
        <v>1</v>
      </c>
      <c r="Q215" s="10">
        <v>1</v>
      </c>
      <c r="R215" s="10">
        <v>1</v>
      </c>
      <c r="S215" s="10">
        <v>1</v>
      </c>
      <c r="T215" s="10">
        <v>0</v>
      </c>
      <c r="U215" s="10">
        <v>0</v>
      </c>
      <c r="V215" s="30" t="str">
        <f>"{{"&amp;V212&amp;"}"&amp;", "&amp;$H$1&amp;"},  //"&amp;V214&amp;":"&amp;Z210&amp;":"&amp;AB210</f>
        <v>{{0x0, 0x14, 0x14, 0x14, 0x14, 0x0, 0x0}, 7},  //=:0:61</v>
      </c>
      <c r="W215" s="35"/>
      <c r="X215" s="35"/>
      <c r="Y215" s="35"/>
      <c r="Z215" s="35"/>
      <c r="AA215" s="35"/>
      <c r="AB215" s="35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</row>
    <row r="216" spans="1:56" x14ac:dyDescent="0.25">
      <c r="A216" s="10">
        <v>0</v>
      </c>
      <c r="B216" s="10">
        <v>0</v>
      </c>
      <c r="C216" s="10">
        <v>0</v>
      </c>
      <c r="D216" s="10">
        <v>1</v>
      </c>
      <c r="E216" s="10">
        <v>0</v>
      </c>
      <c r="F216" s="10">
        <v>0</v>
      </c>
      <c r="G216" s="10">
        <v>0</v>
      </c>
      <c r="H216" s="30"/>
      <c r="I216" s="35"/>
      <c r="J216" s="35"/>
      <c r="K216" s="35"/>
      <c r="L216" s="35"/>
      <c r="M216" s="35"/>
      <c r="N216" s="35"/>
      <c r="O216" s="4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30"/>
      <c r="W216" s="35"/>
      <c r="X216" s="35"/>
      <c r="Y216" s="35"/>
      <c r="Z216" s="35"/>
      <c r="AA216" s="35"/>
      <c r="AB216" s="35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</row>
    <row r="217" spans="1:56" x14ac:dyDescent="0.25">
      <c r="A217" s="10">
        <v>0</v>
      </c>
      <c r="B217" s="10">
        <v>0</v>
      </c>
      <c r="C217" s="10">
        <v>0</v>
      </c>
      <c r="D217" s="10">
        <v>0</v>
      </c>
      <c r="E217" s="10">
        <v>1</v>
      </c>
      <c r="F217" s="10">
        <v>0</v>
      </c>
      <c r="G217" s="10">
        <v>0</v>
      </c>
      <c r="O217" s="4">
        <v>0</v>
      </c>
      <c r="P217" s="10">
        <v>0</v>
      </c>
      <c r="Q217" s="10">
        <v>0</v>
      </c>
      <c r="R217" s="10">
        <v>0</v>
      </c>
      <c r="S217" s="10">
        <v>0</v>
      </c>
      <c r="T217" s="2">
        <v>0</v>
      </c>
      <c r="U217" s="2">
        <v>0</v>
      </c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</row>
    <row r="218" spans="1:56" x14ac:dyDescent="0.25">
      <c r="A218" s="6">
        <v>1</v>
      </c>
      <c r="B218" s="6">
        <v>2</v>
      </c>
      <c r="C218" s="6">
        <v>3</v>
      </c>
      <c r="D218" s="6">
        <v>4</v>
      </c>
      <c r="E218" s="6">
        <v>5</v>
      </c>
      <c r="F218" s="6">
        <v>6</v>
      </c>
      <c r="G218" s="6">
        <v>7</v>
      </c>
      <c r="H218" s="44" t="s">
        <v>0</v>
      </c>
      <c r="I218" s="44"/>
      <c r="J218" s="44"/>
      <c r="K218" s="44"/>
      <c r="L218" s="45">
        <v>0</v>
      </c>
      <c r="M218" s="45"/>
      <c r="N218" s="16">
        <v>62</v>
      </c>
      <c r="O218" s="6">
        <v>1</v>
      </c>
      <c r="P218" s="6">
        <v>2</v>
      </c>
      <c r="Q218" s="6">
        <v>3</v>
      </c>
      <c r="R218" s="6">
        <v>4</v>
      </c>
      <c r="S218" s="6">
        <v>5</v>
      </c>
      <c r="T218" s="6">
        <v>6</v>
      </c>
      <c r="U218" s="6">
        <v>7</v>
      </c>
      <c r="V218" s="44" t="s">
        <v>0</v>
      </c>
      <c r="W218" s="44"/>
      <c r="X218" s="44"/>
      <c r="Y218" s="44"/>
      <c r="Z218" s="45">
        <v>0</v>
      </c>
      <c r="AA218" s="45"/>
      <c r="AB218" s="16">
        <v>63</v>
      </c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</row>
    <row r="219" spans="1:56" x14ac:dyDescent="0.25">
      <c r="A219" s="2">
        <v>0</v>
      </c>
      <c r="B219" s="2">
        <v>1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11" t="str">
        <f>BIN2HEX(A225&amp;A224&amp;A223&amp;A222&amp;A221&amp;A220&amp;A219)</f>
        <v>0</v>
      </c>
      <c r="I219" s="11" t="str">
        <f>BIN2HEX(B225&amp;B224&amp;B223&amp;B222&amp;B221&amp;B220&amp;B219)</f>
        <v>41</v>
      </c>
      <c r="J219" s="11" t="str">
        <f t="shared" ref="J219" si="478">BIN2HEX(C225&amp;C224&amp;C223&amp;C222&amp;C221&amp;C220&amp;C219)</f>
        <v>22</v>
      </c>
      <c r="K219" s="11" t="str">
        <f t="shared" ref="K219" si="479">BIN2HEX(D225&amp;D224&amp;D223&amp;D222&amp;D221&amp;D220&amp;D219)</f>
        <v>14</v>
      </c>
      <c r="L219" s="11" t="str">
        <f t="shared" ref="L219" si="480">BIN2HEX(E225&amp;E224&amp;E223&amp;E222&amp;E221&amp;E220&amp;E219)</f>
        <v>8</v>
      </c>
      <c r="M219" s="11" t="str">
        <f t="shared" ref="M219" si="481">BIN2HEX(F225&amp;F224&amp;F223&amp;F222&amp;F221&amp;F220&amp;F219)</f>
        <v>0</v>
      </c>
      <c r="N219" s="11" t="str">
        <f t="shared" ref="N219" si="482">BIN2HEX(G225&amp;G224&amp;G223&amp;G222&amp;G221&amp;G220&amp;G219)</f>
        <v>0</v>
      </c>
      <c r="O219" s="2">
        <v>0</v>
      </c>
      <c r="P219" s="2">
        <v>0</v>
      </c>
      <c r="Q219" s="2">
        <v>1</v>
      </c>
      <c r="R219" s="2">
        <v>1</v>
      </c>
      <c r="S219" s="2">
        <v>0</v>
      </c>
      <c r="T219" s="2">
        <v>0</v>
      </c>
      <c r="U219" s="2">
        <v>0</v>
      </c>
      <c r="V219" s="11" t="str">
        <f>BIN2HEX(O225&amp;O224&amp;O223&amp;O222&amp;O221&amp;O220&amp;O219)</f>
        <v>0</v>
      </c>
      <c r="W219" s="11" t="str">
        <f>BIN2HEX(P225&amp;P224&amp;P223&amp;P222&amp;P221&amp;P220&amp;P219)</f>
        <v>2</v>
      </c>
      <c r="X219" s="11" t="str">
        <f t="shared" ref="X219" si="483">BIN2HEX(Q225&amp;Q224&amp;Q223&amp;Q222&amp;Q221&amp;Q220&amp;Q219)</f>
        <v>29</v>
      </c>
      <c r="Y219" s="11" t="str">
        <f t="shared" ref="Y219" si="484">BIN2HEX(R225&amp;R224&amp;R223&amp;R222&amp;R221&amp;R220&amp;R219)</f>
        <v>5</v>
      </c>
      <c r="Z219" s="11" t="str">
        <f t="shared" ref="Z219" si="485">BIN2HEX(S225&amp;S224&amp;S223&amp;S222&amp;S221&amp;S220&amp;S219)</f>
        <v>2</v>
      </c>
      <c r="AA219" s="11" t="str">
        <f t="shared" ref="AA219" si="486">BIN2HEX(T225&amp;T224&amp;T223&amp;T222&amp;T221&amp;T220&amp;T219)</f>
        <v>0</v>
      </c>
      <c r="AB219" s="11" t="str">
        <f t="shared" ref="AB219" si="487">BIN2HEX(U225&amp;U224&amp;U223&amp;U222&amp;U221&amp;U220&amp;U219)</f>
        <v>0</v>
      </c>
    </row>
    <row r="220" spans="1:56" ht="15" customHeight="1" x14ac:dyDescent="0.25">
      <c r="A220" s="4">
        <v>0</v>
      </c>
      <c r="B220" s="10">
        <v>0</v>
      </c>
      <c r="C220" s="10">
        <v>1</v>
      </c>
      <c r="D220" s="10">
        <v>0</v>
      </c>
      <c r="E220" s="10">
        <v>0</v>
      </c>
      <c r="F220" s="2">
        <v>0</v>
      </c>
      <c r="G220" s="2">
        <v>0</v>
      </c>
      <c r="H220" s="34" t="str">
        <f>"0x"&amp;H219&amp;", 0x"&amp;I219&amp;", 0x"&amp;J219&amp;", 0x"&amp;K219&amp;", 0x"&amp;L219&amp;", 0x"&amp;M219&amp;", 0x"&amp;N219</f>
        <v>0x0, 0x41, 0x22, 0x14, 0x8, 0x0, 0x0</v>
      </c>
      <c r="I220" s="35"/>
      <c r="J220" s="35"/>
      <c r="K220" s="35"/>
      <c r="L220" s="35"/>
      <c r="M220" s="35"/>
      <c r="N220" s="35"/>
      <c r="O220" s="4">
        <v>0</v>
      </c>
      <c r="P220" s="2">
        <v>1</v>
      </c>
      <c r="Q220" s="2">
        <v>0</v>
      </c>
      <c r="R220" s="2">
        <v>0</v>
      </c>
      <c r="S220" s="2">
        <v>1</v>
      </c>
      <c r="T220" s="2">
        <v>0</v>
      </c>
      <c r="U220" s="2">
        <v>0</v>
      </c>
      <c r="V220" s="34" t="str">
        <f>"0x"&amp;V219&amp;", 0x"&amp;W219&amp;", 0x"&amp;X219&amp;", 0x"&amp;Y219&amp;", 0x"&amp;Z219&amp;", 0x"&amp;AA219&amp;", 0x"&amp;AB219</f>
        <v>0x0, 0x2, 0x29, 0x5, 0x2, 0x0, 0x0</v>
      </c>
      <c r="W220" s="35"/>
      <c r="X220" s="35"/>
      <c r="Y220" s="35"/>
      <c r="Z220" s="35"/>
      <c r="AA220" s="35"/>
      <c r="AB220" s="35"/>
    </row>
    <row r="221" spans="1:56" x14ac:dyDescent="0.25">
      <c r="A221" s="4">
        <v>0</v>
      </c>
      <c r="B221" s="10">
        <v>0</v>
      </c>
      <c r="C221" s="10">
        <v>0</v>
      </c>
      <c r="D221" s="10">
        <v>1</v>
      </c>
      <c r="E221" s="10">
        <v>0</v>
      </c>
      <c r="F221" s="2">
        <v>0</v>
      </c>
      <c r="G221" s="2">
        <v>0</v>
      </c>
      <c r="H221" s="34"/>
      <c r="I221" s="35"/>
      <c r="J221" s="35"/>
      <c r="K221" s="35"/>
      <c r="L221" s="35"/>
      <c r="M221" s="35"/>
      <c r="N221" s="35"/>
      <c r="O221" s="4">
        <v>0</v>
      </c>
      <c r="P221" s="4">
        <v>0</v>
      </c>
      <c r="Q221" s="4">
        <v>0</v>
      </c>
      <c r="R221" s="4">
        <v>1</v>
      </c>
      <c r="S221" s="4">
        <v>0</v>
      </c>
      <c r="T221" s="4">
        <v>0</v>
      </c>
      <c r="U221" s="2">
        <v>0</v>
      </c>
      <c r="V221" s="34"/>
      <c r="W221" s="35"/>
      <c r="X221" s="35"/>
      <c r="Y221" s="35"/>
      <c r="Z221" s="35"/>
      <c r="AA221" s="35"/>
      <c r="AB221" s="35"/>
    </row>
    <row r="222" spans="1:56" x14ac:dyDescent="0.25">
      <c r="A222" s="4">
        <v>0</v>
      </c>
      <c r="B222" s="10">
        <v>0</v>
      </c>
      <c r="C222" s="10">
        <v>0</v>
      </c>
      <c r="D222" s="10">
        <v>0</v>
      </c>
      <c r="E222" s="10">
        <v>1</v>
      </c>
      <c r="F222" s="2">
        <v>0</v>
      </c>
      <c r="G222" s="2">
        <v>0</v>
      </c>
      <c r="H222" s="48">
        <v>1</v>
      </c>
      <c r="I222" s="49"/>
      <c r="J222" s="49"/>
      <c r="K222" s="49"/>
      <c r="L222" s="49"/>
      <c r="M222" s="49"/>
      <c r="N222" s="49"/>
      <c r="O222" s="4">
        <v>0</v>
      </c>
      <c r="P222" s="4">
        <v>0</v>
      </c>
      <c r="Q222" s="4">
        <v>1</v>
      </c>
      <c r="R222" s="4">
        <v>0</v>
      </c>
      <c r="S222" s="4">
        <v>0</v>
      </c>
      <c r="T222" s="4">
        <v>0</v>
      </c>
      <c r="U222" s="4">
        <v>0</v>
      </c>
      <c r="V222" s="48" t="s">
        <v>53</v>
      </c>
      <c r="W222" s="49"/>
      <c r="X222" s="49"/>
      <c r="Y222" s="49"/>
      <c r="Z222" s="49"/>
      <c r="AA222" s="49"/>
      <c r="AB222" s="49"/>
    </row>
    <row r="223" spans="1:56" ht="15" customHeight="1" x14ac:dyDescent="0.25">
      <c r="A223" s="4">
        <v>0</v>
      </c>
      <c r="B223" s="10">
        <v>0</v>
      </c>
      <c r="C223" s="10">
        <v>0</v>
      </c>
      <c r="D223" s="10">
        <v>1</v>
      </c>
      <c r="E223" s="10">
        <v>0</v>
      </c>
      <c r="F223" s="2">
        <v>0</v>
      </c>
      <c r="G223" s="2">
        <v>0</v>
      </c>
      <c r="H223" s="30" t="str">
        <f>"{{"&amp;H220&amp;"}"&amp;", "&amp;$H$1&amp;"},  //"&amp;H222&amp;":"&amp;L218&amp;":"&amp;N218</f>
        <v>{{0x0, 0x41, 0x22, 0x14, 0x8, 0x0, 0x0}, 7},  //1:0:62</v>
      </c>
      <c r="I223" s="35"/>
      <c r="J223" s="35"/>
      <c r="K223" s="35"/>
      <c r="L223" s="35"/>
      <c r="M223" s="35"/>
      <c r="N223" s="35"/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30" t="str">
        <f>"{{"&amp;V220&amp;"}"&amp;", "&amp;$H$1&amp;"},  //"&amp;V222&amp;":"&amp;Z218&amp;":"&amp;AB218</f>
        <v>{{0x0, 0x2, 0x29, 0x5, 0x2, 0x0, 0x0}, 7},  //?:0:63</v>
      </c>
      <c r="W223" s="35"/>
      <c r="X223" s="35"/>
      <c r="Y223" s="35"/>
      <c r="Z223" s="35"/>
      <c r="AA223" s="35"/>
      <c r="AB223" s="35"/>
    </row>
    <row r="224" spans="1:56" x14ac:dyDescent="0.25">
      <c r="A224" s="4">
        <v>0</v>
      </c>
      <c r="B224" s="10">
        <v>0</v>
      </c>
      <c r="C224" s="10">
        <v>1</v>
      </c>
      <c r="D224" s="10">
        <v>0</v>
      </c>
      <c r="E224" s="10">
        <v>0</v>
      </c>
      <c r="F224" s="2">
        <v>0</v>
      </c>
      <c r="G224" s="2">
        <v>0</v>
      </c>
      <c r="H224" s="30"/>
      <c r="I224" s="35"/>
      <c r="J224" s="35"/>
      <c r="K224" s="35"/>
      <c r="L224" s="35"/>
      <c r="M224" s="35"/>
      <c r="N224" s="35"/>
      <c r="O224" s="4">
        <v>0</v>
      </c>
      <c r="P224" s="4">
        <v>0</v>
      </c>
      <c r="Q224" s="4">
        <v>1</v>
      </c>
      <c r="R224" s="4">
        <v>0</v>
      </c>
      <c r="S224" s="4">
        <v>0</v>
      </c>
      <c r="T224" s="4">
        <v>0</v>
      </c>
      <c r="U224" s="4">
        <v>0</v>
      </c>
      <c r="V224" s="30"/>
      <c r="W224" s="35"/>
      <c r="X224" s="35"/>
      <c r="Y224" s="35"/>
      <c r="Z224" s="35"/>
      <c r="AA224" s="35"/>
      <c r="AB224" s="35"/>
    </row>
    <row r="225" spans="1:21" x14ac:dyDescent="0.25">
      <c r="A225" s="4">
        <v>0</v>
      </c>
      <c r="B225" s="10">
        <v>1</v>
      </c>
      <c r="C225" s="10">
        <v>0</v>
      </c>
      <c r="D225" s="10">
        <v>0</v>
      </c>
      <c r="E225" s="10">
        <v>0</v>
      </c>
      <c r="F225" s="2">
        <v>0</v>
      </c>
      <c r="G225" s="2">
        <v>0</v>
      </c>
      <c r="O225" s="4">
        <v>0</v>
      </c>
      <c r="P225" s="2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</row>
    <row r="226" spans="1:21" x14ac:dyDescent="0.25">
      <c r="A226" s="6">
        <v>1</v>
      </c>
      <c r="B226" s="6">
        <v>2</v>
      </c>
      <c r="C226" s="6">
        <v>3</v>
      </c>
      <c r="D226" s="6">
        <v>4</v>
      </c>
      <c r="E226" s="6">
        <v>5</v>
      </c>
      <c r="F226" s="6">
        <v>6</v>
      </c>
      <c r="G226" s="6">
        <v>7</v>
      </c>
      <c r="H226" s="44" t="s">
        <v>0</v>
      </c>
      <c r="I226" s="44"/>
      <c r="J226" s="44"/>
      <c r="K226" s="44"/>
      <c r="L226" s="45">
        <v>0</v>
      </c>
      <c r="M226" s="45"/>
      <c r="N226" s="16">
        <v>64</v>
      </c>
    </row>
    <row r="227" spans="1:21" x14ac:dyDescent="0.25">
      <c r="A227" s="2">
        <v>0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11" t="str">
        <f>BIN2HEX(A233&amp;A232&amp;A231&amp;A230&amp;A229&amp;A228&amp;A227)</f>
        <v>0</v>
      </c>
      <c r="I227" s="11" t="str">
        <f>BIN2HEX(B233&amp;B232&amp;B231&amp;B230&amp;B229&amp;B228&amp;B227)</f>
        <v>0</v>
      </c>
      <c r="J227" s="11" t="str">
        <f t="shared" ref="J227" si="488">BIN2HEX(C233&amp;C232&amp;C231&amp;C230&amp;C229&amp;C228&amp;C227)</f>
        <v>0</v>
      </c>
      <c r="K227" s="11" t="str">
        <f t="shared" ref="K227" si="489">BIN2HEX(D233&amp;D232&amp;D231&amp;D230&amp;D229&amp;D228&amp;D227)</f>
        <v>0</v>
      </c>
      <c r="L227" s="11" t="str">
        <f t="shared" ref="L227" si="490">BIN2HEX(E233&amp;E232&amp;E231&amp;E230&amp;E229&amp;E228&amp;E227)</f>
        <v>0</v>
      </c>
      <c r="M227" s="11" t="str">
        <f t="shared" ref="M227" si="491">BIN2HEX(F233&amp;F232&amp;F231&amp;F230&amp;F229&amp;F228&amp;F227)</f>
        <v>0</v>
      </c>
      <c r="N227" s="11" t="str">
        <f t="shared" ref="N227" si="492">BIN2HEX(G233&amp;G232&amp;G231&amp;G230&amp;G229&amp;G228&amp;G227)</f>
        <v>0</v>
      </c>
    </row>
    <row r="228" spans="1:21" x14ac:dyDescent="0.25">
      <c r="A228" s="2">
        <v>0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46" t="str">
        <f>"0x"&amp;H227&amp;", 0x"&amp;I227&amp;", 0x"&amp;J227&amp;", 0x"&amp;K227&amp;", 0x"&amp;L227&amp;", 0x"&amp;M227&amp;", 0x"&amp;N227</f>
        <v>0x0, 0x0, 0x0, 0x0, 0x0, 0x0, 0x0</v>
      </c>
      <c r="I228" s="47"/>
      <c r="J228" s="47"/>
      <c r="K228" s="47"/>
      <c r="L228" s="47"/>
      <c r="M228" s="47"/>
      <c r="N228" s="47"/>
    </row>
    <row r="229" spans="1:21" x14ac:dyDescent="0.25">
      <c r="A229" s="2">
        <v>0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46"/>
      <c r="I229" s="47"/>
      <c r="J229" s="47"/>
      <c r="K229" s="47"/>
      <c r="L229" s="47"/>
      <c r="M229" s="47"/>
      <c r="N229" s="47"/>
    </row>
    <row r="230" spans="1:21" x14ac:dyDescent="0.25">
      <c r="A230" s="2">
        <v>0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48" t="s">
        <v>80</v>
      </c>
      <c r="I230" s="49"/>
      <c r="J230" s="49"/>
      <c r="K230" s="49"/>
      <c r="L230" s="49"/>
      <c r="M230" s="49"/>
      <c r="N230" s="49"/>
    </row>
    <row r="231" spans="1:21" ht="15" customHeight="1" x14ac:dyDescent="0.25">
      <c r="A231" s="2">
        <v>0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30" t="str">
        <f>"{{"&amp;H228&amp;"}"&amp;", "&amp;$H$1&amp;"},  //"&amp;H230&amp;":"&amp;L226&amp;":"&amp;N226</f>
        <v>{{0x0, 0x0, 0x0, 0x0, 0x0, 0x0, 0x0}, 7},  //@:0:64</v>
      </c>
      <c r="I231" s="35"/>
      <c r="J231" s="35"/>
      <c r="K231" s="35"/>
      <c r="L231" s="35"/>
      <c r="M231" s="35"/>
      <c r="N231" s="35"/>
    </row>
    <row r="232" spans="1:21" x14ac:dyDescent="0.25">
      <c r="A232" s="2">
        <v>0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30"/>
      <c r="I232" s="35"/>
      <c r="J232" s="35"/>
      <c r="K232" s="35"/>
      <c r="L232" s="35"/>
      <c r="M232" s="35"/>
      <c r="N232" s="35"/>
    </row>
    <row r="233" spans="1:21" x14ac:dyDescent="0.25">
      <c r="A233" s="2">
        <v>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</row>
  </sheetData>
  <mergeCells count="672">
    <mergeCell ref="AJ52:AP53"/>
    <mergeCell ref="AX52:BD53"/>
    <mergeCell ref="AX57:BA57"/>
    <mergeCell ref="BB57:BC57"/>
    <mergeCell ref="AJ57:AM57"/>
    <mergeCell ref="AN57:AO57"/>
    <mergeCell ref="V57:Y57"/>
    <mergeCell ref="Z57:AA57"/>
    <mergeCell ref="H57:K57"/>
    <mergeCell ref="L57:M57"/>
    <mergeCell ref="H55:N56"/>
    <mergeCell ref="V55:AB56"/>
    <mergeCell ref="AJ55:AP56"/>
    <mergeCell ref="AX55:BD56"/>
    <mergeCell ref="AJ60:AP61"/>
    <mergeCell ref="AX60:BD61"/>
    <mergeCell ref="AJ58:AM58"/>
    <mergeCell ref="AN58:AO58"/>
    <mergeCell ref="AX58:BA58"/>
    <mergeCell ref="BB58:BC58"/>
    <mergeCell ref="H20:N21"/>
    <mergeCell ref="V20:AB21"/>
    <mergeCell ref="AX26:BA26"/>
    <mergeCell ref="BB26:BC26"/>
    <mergeCell ref="V34:Y34"/>
    <mergeCell ref="Z34:AA34"/>
    <mergeCell ref="H36:N37"/>
    <mergeCell ref="V36:AB37"/>
    <mergeCell ref="H26:K26"/>
    <mergeCell ref="L26:M26"/>
    <mergeCell ref="V23:AB24"/>
    <mergeCell ref="H23:N24"/>
    <mergeCell ref="AJ36:AP37"/>
    <mergeCell ref="AX36:BD37"/>
    <mergeCell ref="AX23:BD24"/>
    <mergeCell ref="AJ23:AP24"/>
    <mergeCell ref="AJ31:AP32"/>
    <mergeCell ref="AX31:BD32"/>
    <mergeCell ref="H25:K25"/>
    <mergeCell ref="L25:M25"/>
    <mergeCell ref="V25:Y25"/>
    <mergeCell ref="Z25:AA25"/>
    <mergeCell ref="H28:N29"/>
    <mergeCell ref="V28:AB29"/>
    <mergeCell ref="AJ44:AP45"/>
    <mergeCell ref="AX44:BD45"/>
    <mergeCell ref="AJ50:AM50"/>
    <mergeCell ref="AN50:AO50"/>
    <mergeCell ref="AX50:BA50"/>
    <mergeCell ref="BB50:BC50"/>
    <mergeCell ref="AJ42:AM42"/>
    <mergeCell ref="AN42:AO42"/>
    <mergeCell ref="AX42:BA42"/>
    <mergeCell ref="BB42:BC42"/>
    <mergeCell ref="AJ49:AM49"/>
    <mergeCell ref="AN49:AO49"/>
    <mergeCell ref="AX49:BA49"/>
    <mergeCell ref="BB49:BC49"/>
    <mergeCell ref="AJ47:AP48"/>
    <mergeCell ref="AX47:BD48"/>
    <mergeCell ref="AJ39:AP40"/>
    <mergeCell ref="H31:N32"/>
    <mergeCell ref="AX10:BA10"/>
    <mergeCell ref="BB10:BC10"/>
    <mergeCell ref="AJ12:AP13"/>
    <mergeCell ref="AX12:BD13"/>
    <mergeCell ref="AX2:BA2"/>
    <mergeCell ref="BB2:BC2"/>
    <mergeCell ref="AJ4:AP5"/>
    <mergeCell ref="AX4:BD5"/>
    <mergeCell ref="AJ7:AP8"/>
    <mergeCell ref="AJ6:AP6"/>
    <mergeCell ref="AX6:BD6"/>
    <mergeCell ref="AX7:BD8"/>
    <mergeCell ref="AJ14:AP14"/>
    <mergeCell ref="AX14:BD14"/>
    <mergeCell ref="AX18:BA18"/>
    <mergeCell ref="BB18:BC18"/>
    <mergeCell ref="AJ20:AP21"/>
    <mergeCell ref="AX20:BD21"/>
    <mergeCell ref="AJ22:AP22"/>
    <mergeCell ref="AX22:BD22"/>
    <mergeCell ref="AJ15:AP16"/>
    <mergeCell ref="AX15:BD16"/>
    <mergeCell ref="H116:N117"/>
    <mergeCell ref="V116:AB117"/>
    <mergeCell ref="AJ2:AM2"/>
    <mergeCell ref="AN2:AO2"/>
    <mergeCell ref="AJ10:AM10"/>
    <mergeCell ref="AN10:AO10"/>
    <mergeCell ref="AJ18:AM18"/>
    <mergeCell ref="AN18:AO18"/>
    <mergeCell ref="H52:N53"/>
    <mergeCell ref="V52:AB53"/>
    <mergeCell ref="H108:N109"/>
    <mergeCell ref="V108:AB109"/>
    <mergeCell ref="H66:K66"/>
    <mergeCell ref="L66:M66"/>
    <mergeCell ref="H100:N101"/>
    <mergeCell ref="V100:AB101"/>
    <mergeCell ref="H50:K50"/>
    <mergeCell ref="L50:M50"/>
    <mergeCell ref="V50:Y50"/>
    <mergeCell ref="AJ28:AP29"/>
    <mergeCell ref="AJ34:AM34"/>
    <mergeCell ref="H98:K98"/>
    <mergeCell ref="L98:M98"/>
    <mergeCell ref="V98:Y98"/>
    <mergeCell ref="Z98:AA98"/>
    <mergeCell ref="H44:N45"/>
    <mergeCell ref="V44:AB45"/>
    <mergeCell ref="H58:K58"/>
    <mergeCell ref="L58:M58"/>
    <mergeCell ref="V58:Y58"/>
    <mergeCell ref="Z58:AA58"/>
    <mergeCell ref="Z66:AA66"/>
    <mergeCell ref="V63:AB64"/>
    <mergeCell ref="H63:N64"/>
    <mergeCell ref="H71:N72"/>
    <mergeCell ref="V71:AB72"/>
    <mergeCell ref="H47:N48"/>
    <mergeCell ref="V47:AB48"/>
    <mergeCell ref="Z50:AA50"/>
    <mergeCell ref="V66:Y66"/>
    <mergeCell ref="H76:N77"/>
    <mergeCell ref="V76:AB77"/>
    <mergeCell ref="H84:N85"/>
    <mergeCell ref="V84:AB85"/>
    <mergeCell ref="V60:AB61"/>
    <mergeCell ref="H60:N61"/>
    <mergeCell ref="H68:N69"/>
    <mergeCell ref="V68:AB69"/>
    <mergeCell ref="V31:AB32"/>
    <mergeCell ref="H39:N40"/>
    <mergeCell ref="V39:AB40"/>
    <mergeCell ref="H2:K2"/>
    <mergeCell ref="L2:N2"/>
    <mergeCell ref="H18:K18"/>
    <mergeCell ref="L10:M10"/>
    <mergeCell ref="L18:M18"/>
    <mergeCell ref="H4:N5"/>
    <mergeCell ref="V4:AB5"/>
    <mergeCell ref="V12:AB13"/>
    <mergeCell ref="V2:Y2"/>
    <mergeCell ref="Z2:AB2"/>
    <mergeCell ref="H15:N16"/>
    <mergeCell ref="V15:AB16"/>
    <mergeCell ref="H10:K10"/>
    <mergeCell ref="V10:Y10"/>
    <mergeCell ref="Z10:AA10"/>
    <mergeCell ref="V18:Y18"/>
    <mergeCell ref="H14:N14"/>
    <mergeCell ref="V14:AB14"/>
    <mergeCell ref="H22:N22"/>
    <mergeCell ref="Z18:AA18"/>
    <mergeCell ref="H12:N13"/>
    <mergeCell ref="V26:Y26"/>
    <mergeCell ref="Z26:AA26"/>
    <mergeCell ref="V22:AB22"/>
    <mergeCell ref="H54:N54"/>
    <mergeCell ref="V54:AB54"/>
    <mergeCell ref="AJ54:AP54"/>
    <mergeCell ref="AX54:BD54"/>
    <mergeCell ref="H62:N62"/>
    <mergeCell ref="V62:AB62"/>
    <mergeCell ref="AJ62:AP62"/>
    <mergeCell ref="AX62:BD62"/>
    <mergeCell ref="AN25:AO25"/>
    <mergeCell ref="AX25:BA25"/>
    <mergeCell ref="BB25:BC25"/>
    <mergeCell ref="AX33:BA33"/>
    <mergeCell ref="BB33:BC33"/>
    <mergeCell ref="AJ41:AM41"/>
    <mergeCell ref="AN41:AO41"/>
    <mergeCell ref="AX41:BA41"/>
    <mergeCell ref="BB41:BC41"/>
    <mergeCell ref="AX28:BD29"/>
    <mergeCell ref="AJ26:AM26"/>
    <mergeCell ref="AN26:AO26"/>
    <mergeCell ref="H41:K41"/>
    <mergeCell ref="AX63:BD64"/>
    <mergeCell ref="AJ63:AP64"/>
    <mergeCell ref="H30:N30"/>
    <mergeCell ref="V30:AB30"/>
    <mergeCell ref="AJ30:AP30"/>
    <mergeCell ref="AX30:BD30"/>
    <mergeCell ref="H38:N38"/>
    <mergeCell ref="V38:AB38"/>
    <mergeCell ref="AJ38:AP38"/>
    <mergeCell ref="AX38:BD38"/>
    <mergeCell ref="H46:N46"/>
    <mergeCell ref="V46:AB46"/>
    <mergeCell ref="AJ46:AP46"/>
    <mergeCell ref="AX46:BD46"/>
    <mergeCell ref="AN34:AO34"/>
    <mergeCell ref="AX34:BA34"/>
    <mergeCell ref="BB34:BC34"/>
    <mergeCell ref="AX39:BD40"/>
    <mergeCell ref="V41:Y41"/>
    <mergeCell ref="Z41:AA41"/>
    <mergeCell ref="AJ33:AM33"/>
    <mergeCell ref="AN33:AO33"/>
    <mergeCell ref="H42:K42"/>
    <mergeCell ref="L42:M42"/>
    <mergeCell ref="H103:N104"/>
    <mergeCell ref="H102:N102"/>
    <mergeCell ref="V102:AB102"/>
    <mergeCell ref="V103:AB104"/>
    <mergeCell ref="H106:K106"/>
    <mergeCell ref="L106:M106"/>
    <mergeCell ref="V106:Y106"/>
    <mergeCell ref="Z106:AA106"/>
    <mergeCell ref="H114:K114"/>
    <mergeCell ref="L114:M114"/>
    <mergeCell ref="V114:Y114"/>
    <mergeCell ref="Z114:AA114"/>
    <mergeCell ref="H110:N110"/>
    <mergeCell ref="H111:N112"/>
    <mergeCell ref="V110:AB110"/>
    <mergeCell ref="V111:AB112"/>
    <mergeCell ref="H118:N118"/>
    <mergeCell ref="H119:N120"/>
    <mergeCell ref="V118:AB118"/>
    <mergeCell ref="V119:AB120"/>
    <mergeCell ref="H126:N126"/>
    <mergeCell ref="H127:N128"/>
    <mergeCell ref="V126:AB126"/>
    <mergeCell ref="V127:AB128"/>
    <mergeCell ref="H122:K122"/>
    <mergeCell ref="L122:M122"/>
    <mergeCell ref="V122:Y122"/>
    <mergeCell ref="Z122:AA122"/>
    <mergeCell ref="H124:N125"/>
    <mergeCell ref="V124:AB125"/>
    <mergeCell ref="H130:K130"/>
    <mergeCell ref="L130:M130"/>
    <mergeCell ref="V130:Y130"/>
    <mergeCell ref="Z130:AA130"/>
    <mergeCell ref="H132:N133"/>
    <mergeCell ref="V132:AB133"/>
    <mergeCell ref="H134:N134"/>
    <mergeCell ref="V134:AB134"/>
    <mergeCell ref="H135:N136"/>
    <mergeCell ref="V135:AB136"/>
    <mergeCell ref="Z138:AA138"/>
    <mergeCell ref="H140:N141"/>
    <mergeCell ref="V140:AB141"/>
    <mergeCell ref="V151:AB152"/>
    <mergeCell ref="H154:K154"/>
    <mergeCell ref="L154:M154"/>
    <mergeCell ref="V154:Y154"/>
    <mergeCell ref="Z154:AA154"/>
    <mergeCell ref="H142:N142"/>
    <mergeCell ref="V142:AB142"/>
    <mergeCell ref="H143:N144"/>
    <mergeCell ref="V143:AB144"/>
    <mergeCell ref="H146:K146"/>
    <mergeCell ref="L146:M146"/>
    <mergeCell ref="V146:Y146"/>
    <mergeCell ref="Z146:AA146"/>
    <mergeCell ref="AJ98:AM98"/>
    <mergeCell ref="AN98:AO98"/>
    <mergeCell ref="AJ106:AM106"/>
    <mergeCell ref="AN106:AO106"/>
    <mergeCell ref="AJ114:AM114"/>
    <mergeCell ref="AN114:AO114"/>
    <mergeCell ref="AJ122:AM122"/>
    <mergeCell ref="AN122:AO122"/>
    <mergeCell ref="AC131:BD161"/>
    <mergeCell ref="AX98:BA98"/>
    <mergeCell ref="BB98:BC98"/>
    <mergeCell ref="AJ100:AP101"/>
    <mergeCell ref="AX100:BD101"/>
    <mergeCell ref="AJ102:AP102"/>
    <mergeCell ref="AX102:BD102"/>
    <mergeCell ref="AJ103:AP104"/>
    <mergeCell ref="AX103:BD104"/>
    <mergeCell ref="AX106:BA106"/>
    <mergeCell ref="BB106:BC106"/>
    <mergeCell ref="AJ108:AP109"/>
    <mergeCell ref="AX108:BD109"/>
    <mergeCell ref="AJ110:AP110"/>
    <mergeCell ref="AX110:BD110"/>
    <mergeCell ref="AJ111:AP112"/>
    <mergeCell ref="AX111:BD112"/>
    <mergeCell ref="AX114:BA114"/>
    <mergeCell ref="BB114:BC114"/>
    <mergeCell ref="AJ116:AP117"/>
    <mergeCell ref="AX116:BD117"/>
    <mergeCell ref="AJ118:AP118"/>
    <mergeCell ref="AX118:BD118"/>
    <mergeCell ref="AJ119:AP120"/>
    <mergeCell ref="AX119:BD120"/>
    <mergeCell ref="AX122:BA122"/>
    <mergeCell ref="BB122:BC122"/>
    <mergeCell ref="AJ124:AP125"/>
    <mergeCell ref="AX124:BD125"/>
    <mergeCell ref="AJ126:AP126"/>
    <mergeCell ref="AX126:BD126"/>
    <mergeCell ref="AJ127:AP128"/>
    <mergeCell ref="AX127:BD128"/>
    <mergeCell ref="H164:N165"/>
    <mergeCell ref="V164:AB165"/>
    <mergeCell ref="H156:N157"/>
    <mergeCell ref="V156:AB157"/>
    <mergeCell ref="H158:N158"/>
    <mergeCell ref="V158:AB158"/>
    <mergeCell ref="H159:N160"/>
    <mergeCell ref="V159:AB160"/>
    <mergeCell ref="H148:N149"/>
    <mergeCell ref="V148:AB149"/>
    <mergeCell ref="H150:N150"/>
    <mergeCell ref="V150:AB150"/>
    <mergeCell ref="H151:N152"/>
    <mergeCell ref="H138:K138"/>
    <mergeCell ref="L138:M138"/>
    <mergeCell ref="V138:Y138"/>
    <mergeCell ref="H172:N173"/>
    <mergeCell ref="V172:AB173"/>
    <mergeCell ref="H166:N166"/>
    <mergeCell ref="V166:AB166"/>
    <mergeCell ref="H174:N174"/>
    <mergeCell ref="V174:AB174"/>
    <mergeCell ref="H162:K162"/>
    <mergeCell ref="L162:M162"/>
    <mergeCell ref="V162:Y162"/>
    <mergeCell ref="Z162:AA162"/>
    <mergeCell ref="H170:K170"/>
    <mergeCell ref="L170:M170"/>
    <mergeCell ref="H167:N168"/>
    <mergeCell ref="V167:AB168"/>
    <mergeCell ref="H175:N176"/>
    <mergeCell ref="V175:AB176"/>
    <mergeCell ref="H178:K178"/>
    <mergeCell ref="L178:M178"/>
    <mergeCell ref="V178:Y178"/>
    <mergeCell ref="Z178:AA178"/>
    <mergeCell ref="V170:Y170"/>
    <mergeCell ref="Z170:AA170"/>
    <mergeCell ref="H194:K194"/>
    <mergeCell ref="L194:M194"/>
    <mergeCell ref="V194:Y194"/>
    <mergeCell ref="Z194:AA194"/>
    <mergeCell ref="H180:N181"/>
    <mergeCell ref="V180:AB181"/>
    <mergeCell ref="H188:N189"/>
    <mergeCell ref="V188:AB189"/>
    <mergeCell ref="H182:N182"/>
    <mergeCell ref="V182:AB182"/>
    <mergeCell ref="H190:N190"/>
    <mergeCell ref="V190:AB190"/>
    <mergeCell ref="H183:N184"/>
    <mergeCell ref="V183:AB184"/>
    <mergeCell ref="H191:N192"/>
    <mergeCell ref="V191:AB192"/>
    <mergeCell ref="H186:K186"/>
    <mergeCell ref="L186:M186"/>
    <mergeCell ref="V186:Y186"/>
    <mergeCell ref="Z186:AA186"/>
    <mergeCell ref="H199:N200"/>
    <mergeCell ref="V199:AB200"/>
    <mergeCell ref="AC163:BD178"/>
    <mergeCell ref="AJ9:AM9"/>
    <mergeCell ref="AN9:AO9"/>
    <mergeCell ref="AX9:BA9"/>
    <mergeCell ref="BB9:BC9"/>
    <mergeCell ref="H17:K17"/>
    <mergeCell ref="L17:M17"/>
    <mergeCell ref="V17:Y17"/>
    <mergeCell ref="Z17:AA17"/>
    <mergeCell ref="AJ17:AM17"/>
    <mergeCell ref="AN17:AO17"/>
    <mergeCell ref="AX17:BA17"/>
    <mergeCell ref="BB17:BC17"/>
    <mergeCell ref="H196:N197"/>
    <mergeCell ref="V196:AB197"/>
    <mergeCell ref="H198:N198"/>
    <mergeCell ref="V198:AB198"/>
    <mergeCell ref="AJ25:AM25"/>
    <mergeCell ref="L41:M41"/>
    <mergeCell ref="H33:K33"/>
    <mergeCell ref="L33:M33"/>
    <mergeCell ref="V33:Y33"/>
    <mergeCell ref="Z33:AA33"/>
    <mergeCell ref="H49:K49"/>
    <mergeCell ref="L49:M49"/>
    <mergeCell ref="V49:Y49"/>
    <mergeCell ref="Z49:AA49"/>
    <mergeCell ref="V42:Y42"/>
    <mergeCell ref="Z42:AA42"/>
    <mergeCell ref="H34:K34"/>
    <mergeCell ref="L34:M34"/>
    <mergeCell ref="H65:K65"/>
    <mergeCell ref="L65:M65"/>
    <mergeCell ref="V65:Y65"/>
    <mergeCell ref="Z65:AA65"/>
    <mergeCell ref="AJ65:AM65"/>
    <mergeCell ref="AN65:AO65"/>
    <mergeCell ref="AX65:BA65"/>
    <mergeCell ref="BB65:BC65"/>
    <mergeCell ref="H73:K73"/>
    <mergeCell ref="L73:M73"/>
    <mergeCell ref="V73:Y73"/>
    <mergeCell ref="Z73:AA73"/>
    <mergeCell ref="AC67:BD97"/>
    <mergeCell ref="H92:N93"/>
    <mergeCell ref="V92:AB93"/>
    <mergeCell ref="H70:N70"/>
    <mergeCell ref="V70:AB70"/>
    <mergeCell ref="H202:K202"/>
    <mergeCell ref="L202:M202"/>
    <mergeCell ref="V202:Y202"/>
    <mergeCell ref="Z202:AA202"/>
    <mergeCell ref="H204:N205"/>
    <mergeCell ref="V204:AB205"/>
    <mergeCell ref="H206:N206"/>
    <mergeCell ref="V206:AB206"/>
    <mergeCell ref="AC203:BD218"/>
    <mergeCell ref="H210:K210"/>
    <mergeCell ref="L210:M210"/>
    <mergeCell ref="V210:Y210"/>
    <mergeCell ref="Z210:AA210"/>
    <mergeCell ref="H212:N213"/>
    <mergeCell ref="V212:AB213"/>
    <mergeCell ref="H214:N214"/>
    <mergeCell ref="V214:AB214"/>
    <mergeCell ref="H215:N216"/>
    <mergeCell ref="V215:AB216"/>
    <mergeCell ref="H218:K218"/>
    <mergeCell ref="L218:M218"/>
    <mergeCell ref="BN2:BQ2"/>
    <mergeCell ref="BR2:BS2"/>
    <mergeCell ref="BN4:BT5"/>
    <mergeCell ref="BN6:BT6"/>
    <mergeCell ref="BN7:BT8"/>
    <mergeCell ref="BN9:BQ9"/>
    <mergeCell ref="BR9:BS9"/>
    <mergeCell ref="CB2:CE2"/>
    <mergeCell ref="CF2:CG2"/>
    <mergeCell ref="CB4:CH5"/>
    <mergeCell ref="CB6:CH6"/>
    <mergeCell ref="CB7:CH8"/>
    <mergeCell ref="CB9:CE9"/>
    <mergeCell ref="CF9:CG9"/>
    <mergeCell ref="BN12:BT13"/>
    <mergeCell ref="BN14:BT14"/>
    <mergeCell ref="BN15:BT16"/>
    <mergeCell ref="BN17:BQ17"/>
    <mergeCell ref="BR10:BS10"/>
    <mergeCell ref="BR17:BS17"/>
    <mergeCell ref="BN10:BQ10"/>
    <mergeCell ref="CB10:CE10"/>
    <mergeCell ref="CF10:CG10"/>
    <mergeCell ref="CB12:CH13"/>
    <mergeCell ref="CB14:CH14"/>
    <mergeCell ref="CB15:CH16"/>
    <mergeCell ref="CB17:CE17"/>
    <mergeCell ref="CF17:CG17"/>
    <mergeCell ref="BN18:BQ18"/>
    <mergeCell ref="BR18:BS18"/>
    <mergeCell ref="BN20:BT21"/>
    <mergeCell ref="BN22:BT22"/>
    <mergeCell ref="BN23:BT24"/>
    <mergeCell ref="BN25:BQ25"/>
    <mergeCell ref="BR25:BS25"/>
    <mergeCell ref="CB18:CE18"/>
    <mergeCell ref="CF18:CG18"/>
    <mergeCell ref="CB20:CH21"/>
    <mergeCell ref="CB22:CH22"/>
    <mergeCell ref="CB23:CH24"/>
    <mergeCell ref="CB25:CE25"/>
    <mergeCell ref="CF25:CG25"/>
    <mergeCell ref="BN26:BQ26"/>
    <mergeCell ref="BR26:BS26"/>
    <mergeCell ref="BN28:BT29"/>
    <mergeCell ref="BN30:BT30"/>
    <mergeCell ref="BN31:BT32"/>
    <mergeCell ref="BN33:BQ33"/>
    <mergeCell ref="BR33:BS33"/>
    <mergeCell ref="CB26:CE26"/>
    <mergeCell ref="CF26:CG26"/>
    <mergeCell ref="CB28:CH29"/>
    <mergeCell ref="CB30:CH30"/>
    <mergeCell ref="CB31:CH32"/>
    <mergeCell ref="CB33:CE33"/>
    <mergeCell ref="CF33:CG33"/>
    <mergeCell ref="BN34:BQ34"/>
    <mergeCell ref="BR34:BS34"/>
    <mergeCell ref="BN36:BT37"/>
    <mergeCell ref="BN38:BT38"/>
    <mergeCell ref="BN39:BT40"/>
    <mergeCell ref="BN41:BQ41"/>
    <mergeCell ref="BR41:BS41"/>
    <mergeCell ref="CB34:CE34"/>
    <mergeCell ref="CF34:CG34"/>
    <mergeCell ref="CB36:CH37"/>
    <mergeCell ref="CB38:CH38"/>
    <mergeCell ref="CB39:CH40"/>
    <mergeCell ref="CB41:CE41"/>
    <mergeCell ref="CF41:CG41"/>
    <mergeCell ref="BN42:BQ42"/>
    <mergeCell ref="BR42:BS42"/>
    <mergeCell ref="BN44:BT45"/>
    <mergeCell ref="BN46:BT46"/>
    <mergeCell ref="BN47:BT48"/>
    <mergeCell ref="BN49:BQ49"/>
    <mergeCell ref="BR49:BS49"/>
    <mergeCell ref="CB42:CE42"/>
    <mergeCell ref="CF42:CG42"/>
    <mergeCell ref="CB44:CH45"/>
    <mergeCell ref="CB46:CH46"/>
    <mergeCell ref="CB47:CH48"/>
    <mergeCell ref="CB49:CE49"/>
    <mergeCell ref="CF49:CG49"/>
    <mergeCell ref="BN50:BQ50"/>
    <mergeCell ref="BR50:BS50"/>
    <mergeCell ref="BN52:BT53"/>
    <mergeCell ref="BN54:BT54"/>
    <mergeCell ref="BN55:BT56"/>
    <mergeCell ref="BN57:BQ57"/>
    <mergeCell ref="BR57:BS57"/>
    <mergeCell ref="CB50:CE50"/>
    <mergeCell ref="CF50:CG50"/>
    <mergeCell ref="CB52:CH53"/>
    <mergeCell ref="CB54:CH54"/>
    <mergeCell ref="CB55:CH56"/>
    <mergeCell ref="CB57:CE57"/>
    <mergeCell ref="CF57:CG57"/>
    <mergeCell ref="BN58:BQ58"/>
    <mergeCell ref="BR58:BS58"/>
    <mergeCell ref="BN60:BT61"/>
    <mergeCell ref="BN62:BT62"/>
    <mergeCell ref="BN63:BT64"/>
    <mergeCell ref="BN65:BQ65"/>
    <mergeCell ref="BR65:BS65"/>
    <mergeCell ref="CB58:CE58"/>
    <mergeCell ref="CF58:CG58"/>
    <mergeCell ref="CB60:CH61"/>
    <mergeCell ref="CB62:CH62"/>
    <mergeCell ref="CB63:CH64"/>
    <mergeCell ref="CB65:CE65"/>
    <mergeCell ref="CF65:CG65"/>
    <mergeCell ref="BN66:BQ66"/>
    <mergeCell ref="BR66:BS66"/>
    <mergeCell ref="BN68:BT69"/>
    <mergeCell ref="BN70:BT70"/>
    <mergeCell ref="BN71:BT72"/>
    <mergeCell ref="BN73:BQ73"/>
    <mergeCell ref="BR73:BS73"/>
    <mergeCell ref="CB66:CE66"/>
    <mergeCell ref="CF66:CG66"/>
    <mergeCell ref="CB68:CH69"/>
    <mergeCell ref="CB70:CH70"/>
    <mergeCell ref="CB71:CH72"/>
    <mergeCell ref="CB73:CE73"/>
    <mergeCell ref="CF73:CG73"/>
    <mergeCell ref="BN74:BQ74"/>
    <mergeCell ref="BR74:BS74"/>
    <mergeCell ref="BN76:BT77"/>
    <mergeCell ref="BN78:BT78"/>
    <mergeCell ref="BN79:BT80"/>
    <mergeCell ref="CB74:CE74"/>
    <mergeCell ref="CF74:CG74"/>
    <mergeCell ref="CB76:CH77"/>
    <mergeCell ref="CB78:CH78"/>
    <mergeCell ref="CB79:CH80"/>
    <mergeCell ref="CB81:CE81"/>
    <mergeCell ref="CF81:CG81"/>
    <mergeCell ref="BN82:BQ82"/>
    <mergeCell ref="BR82:BS82"/>
    <mergeCell ref="BN84:BT85"/>
    <mergeCell ref="BN86:BT86"/>
    <mergeCell ref="BN87:BT88"/>
    <mergeCell ref="BN89:BQ89"/>
    <mergeCell ref="BR89:BS89"/>
    <mergeCell ref="CB82:CE82"/>
    <mergeCell ref="CF82:CG82"/>
    <mergeCell ref="CB84:CH85"/>
    <mergeCell ref="CB86:CH86"/>
    <mergeCell ref="CB87:CH88"/>
    <mergeCell ref="CB89:CE89"/>
    <mergeCell ref="CF89:CG89"/>
    <mergeCell ref="BN90:BQ90"/>
    <mergeCell ref="BR90:BS90"/>
    <mergeCell ref="BN92:BT93"/>
    <mergeCell ref="BN94:BT94"/>
    <mergeCell ref="BN95:BT96"/>
    <mergeCell ref="BN97:BQ97"/>
    <mergeCell ref="BR97:BS97"/>
    <mergeCell ref="CB90:CE90"/>
    <mergeCell ref="CF90:CG90"/>
    <mergeCell ref="CB92:CH93"/>
    <mergeCell ref="CB94:CH94"/>
    <mergeCell ref="CB95:CH96"/>
    <mergeCell ref="CB97:CE97"/>
    <mergeCell ref="CF97:CG97"/>
    <mergeCell ref="CB102:CH102"/>
    <mergeCell ref="CB100:CH101"/>
    <mergeCell ref="CF98:CG98"/>
    <mergeCell ref="CB98:CE98"/>
    <mergeCell ref="BN98:BQ98"/>
    <mergeCell ref="BR98:BS98"/>
    <mergeCell ref="BN100:BT101"/>
    <mergeCell ref="BN102:BT102"/>
    <mergeCell ref="BN103:BT104"/>
    <mergeCell ref="A1:G1"/>
    <mergeCell ref="V7:AB8"/>
    <mergeCell ref="H7:N8"/>
    <mergeCell ref="BG107:CH137"/>
    <mergeCell ref="H226:K226"/>
    <mergeCell ref="L226:M226"/>
    <mergeCell ref="H228:N229"/>
    <mergeCell ref="H230:N230"/>
    <mergeCell ref="H231:N232"/>
    <mergeCell ref="CF105:CG105"/>
    <mergeCell ref="CB105:CE105"/>
    <mergeCell ref="BN105:BQ105"/>
    <mergeCell ref="BR105:BS105"/>
    <mergeCell ref="H220:N221"/>
    <mergeCell ref="H222:N222"/>
    <mergeCell ref="H223:N224"/>
    <mergeCell ref="V218:Y218"/>
    <mergeCell ref="Z218:AA218"/>
    <mergeCell ref="V220:AB221"/>
    <mergeCell ref="V222:AB222"/>
    <mergeCell ref="V223:AB224"/>
    <mergeCell ref="H207:N208"/>
    <mergeCell ref="V207:AB208"/>
    <mergeCell ref="CB103:CH104"/>
    <mergeCell ref="BN138:BQ138"/>
    <mergeCell ref="BR138:BS138"/>
    <mergeCell ref="CB138:CE138"/>
    <mergeCell ref="CF138:CG138"/>
    <mergeCell ref="BN140:BT141"/>
    <mergeCell ref="CB140:CH141"/>
    <mergeCell ref="BN142:BT142"/>
    <mergeCell ref="CB142:CH142"/>
    <mergeCell ref="BN143:BT144"/>
    <mergeCell ref="CB143:CH144"/>
    <mergeCell ref="BN145:BQ145"/>
    <mergeCell ref="BR145:BS145"/>
    <mergeCell ref="CB145:CE145"/>
    <mergeCell ref="CF145:CG145"/>
    <mergeCell ref="BN146:BQ146"/>
    <mergeCell ref="BR146:BS146"/>
    <mergeCell ref="CB146:CE146"/>
    <mergeCell ref="CF146:CG146"/>
    <mergeCell ref="BN148:BT149"/>
    <mergeCell ref="CB148:CH149"/>
    <mergeCell ref="BN150:BT150"/>
    <mergeCell ref="CB150:CH150"/>
    <mergeCell ref="BN151:BT152"/>
    <mergeCell ref="CB151:CH152"/>
    <mergeCell ref="BN153:BQ153"/>
    <mergeCell ref="BR153:BS153"/>
    <mergeCell ref="CB153:CE153"/>
    <mergeCell ref="CF153:CG153"/>
    <mergeCell ref="BN154:BQ154"/>
    <mergeCell ref="BR154:BS154"/>
    <mergeCell ref="CB154:CE154"/>
    <mergeCell ref="CF154:CG154"/>
    <mergeCell ref="BG163:CH169"/>
    <mergeCell ref="BN156:BT157"/>
    <mergeCell ref="CB156:CH157"/>
    <mergeCell ref="BN158:BT158"/>
    <mergeCell ref="CB158:CH158"/>
    <mergeCell ref="BN159:BT160"/>
    <mergeCell ref="CB159:CH160"/>
    <mergeCell ref="BN161:BQ161"/>
    <mergeCell ref="BR161:BS161"/>
    <mergeCell ref="CB161:CE161"/>
    <mergeCell ref="CF161:CG161"/>
  </mergeCells>
  <conditionalFormatting sqref="A3:G9 BE11:BF17 BE19:BF25 BE59:BF65 BE3:BF9 AC67 BE67:BF73 A234:G1048576 CI3:XFD9 CI11:XFD17 CI19:XFD25 CI59:XFD65 CI67:XFD73 BE131:BF137 V6:AB6 O3:R9 O179:U181 O182:AB182 V198:AB198 Q78:AB81 U86:AB89 U94:AB97 U14:V14 U137:AB137 U161:AB161 U121:AB121 AC130:BF130 AW113:BD113 AW129:BD129 BE187:XFD193 BE164:BF169 BE171:XFD177 BE179:XFD185 AC219:XFD225 CI99:XFD99 BU99:CA99 BU102:XFD102 BE154:BF161 A179:G185 O179:T185 T193:AB193 G195:G201 BE195:XFD218 O226:XFD1048576 V9:AB9 BU105:XFD105 BU103:CA104 CI103:XFD104 O185:AB185 O183:U184 V201:AB201 AQ6:AX6 CI130:XFD161 BE163:BG163 CI163:XFD169">
    <cfRule type="cellIs" dxfId="208" priority="290" operator="equal">
      <formula>1</formula>
    </cfRule>
  </conditionalFormatting>
  <conditionalFormatting sqref="O77:P81 O75:U76 Q77:U77 BE75:BF81 CI75:XFD81">
    <cfRule type="cellIs" dxfId="207" priority="283" operator="equal">
      <formula>1</formula>
    </cfRule>
  </conditionalFormatting>
  <conditionalFormatting sqref="A75:G81">
    <cfRule type="cellIs" dxfId="206" priority="282" operator="equal">
      <formula>1</formula>
    </cfRule>
  </conditionalFormatting>
  <conditionalFormatting sqref="O83:U84 U85 O85:T89 BE83:BF89 CI83:XFD89">
    <cfRule type="cellIs" dxfId="205" priority="281" operator="equal">
      <formula>1</formula>
    </cfRule>
  </conditionalFormatting>
  <conditionalFormatting sqref="BE35:BF41 CI35:XFD41">
    <cfRule type="cellIs" dxfId="204" priority="265" operator="equal">
      <formula>1</formula>
    </cfRule>
  </conditionalFormatting>
  <conditionalFormatting sqref="O91:U91 U93 O92:R97 T93:T97 T92:U92 BE91:BF97 CI91:XFD97">
    <cfRule type="cellIs" dxfId="203" priority="279" operator="equal">
      <formula>1</formula>
    </cfRule>
  </conditionalFormatting>
  <conditionalFormatting sqref="A91:G97">
    <cfRule type="cellIs" dxfId="202" priority="278" operator="equal">
      <formula>1</formula>
    </cfRule>
  </conditionalFormatting>
  <conditionalFormatting sqref="A83:G89">
    <cfRule type="cellIs" dxfId="201" priority="277" operator="equal">
      <formula>1</formula>
    </cfRule>
  </conditionalFormatting>
  <conditionalFormatting sqref="S92:S97">
    <cfRule type="cellIs" dxfId="200" priority="276" operator="equal">
      <formula>1</formula>
    </cfRule>
  </conditionalFormatting>
  <conditionalFormatting sqref="BE123:BF129 CI123:XFD129">
    <cfRule type="cellIs" dxfId="199" priority="275" operator="equal">
      <formula>1</formula>
    </cfRule>
  </conditionalFormatting>
  <conditionalFormatting sqref="AX14">
    <cfRule type="cellIs" dxfId="198" priority="236" operator="equal">
      <formula>1</formula>
    </cfRule>
  </conditionalFormatting>
  <conditionalFormatting sqref="Q12:Q17">
    <cfRule type="cellIs" dxfId="197" priority="237" operator="equal">
      <formula>1</formula>
    </cfRule>
  </conditionalFormatting>
  <conditionalFormatting sqref="BE27:BF33 CI27:XFD33">
    <cfRule type="cellIs" dxfId="196" priority="271" operator="equal">
      <formula>1</formula>
    </cfRule>
  </conditionalFormatting>
  <conditionalFormatting sqref="A99:G105">
    <cfRule type="cellIs" dxfId="195" priority="255" operator="equal">
      <formula>1</formula>
    </cfRule>
  </conditionalFormatting>
  <conditionalFormatting sqref="V105:AB105 BE99:BF105 CI100:XFD101 O99:U105 BU100:CA101">
    <cfRule type="cellIs" dxfId="194" priority="256" operator="equal">
      <formula>1</formula>
    </cfRule>
  </conditionalFormatting>
  <conditionalFormatting sqref="V46 BE43:BF49 CI43:XFD49">
    <cfRule type="cellIs" dxfId="193" priority="262" operator="equal">
      <formula>1</formula>
    </cfRule>
  </conditionalFormatting>
  <conditionalFormatting sqref="O43:U49">
    <cfRule type="cellIs" dxfId="192" priority="250" operator="equal">
      <formula>1</formula>
    </cfRule>
  </conditionalFormatting>
  <conditionalFormatting sqref="BE51:BF57 CI51:XFD57">
    <cfRule type="cellIs" dxfId="191" priority="254" operator="equal">
      <formula>1</formula>
    </cfRule>
  </conditionalFormatting>
  <conditionalFormatting sqref="H62">
    <cfRule type="cellIs" dxfId="190" priority="201" operator="equal">
      <formula>1</formula>
    </cfRule>
  </conditionalFormatting>
  <conditionalFormatting sqref="BE107:BF113 CI107:XFD113">
    <cfRule type="cellIs" dxfId="189" priority="247" operator="equal">
      <formula>1</formula>
    </cfRule>
  </conditionalFormatting>
  <conditionalFormatting sqref="BE115:BF121 CI115:XFD121">
    <cfRule type="cellIs" dxfId="188" priority="243" operator="equal">
      <formula>1</formula>
    </cfRule>
  </conditionalFormatting>
  <conditionalFormatting sqref="AC3:AI9 AQ3:AW5 AQ7:AW9">
    <cfRule type="cellIs" dxfId="187" priority="241" operator="equal">
      <formula>1</formula>
    </cfRule>
  </conditionalFormatting>
  <conditionalFormatting sqref="U13 R13:T17 R12:U12 O12:P17 U15:U17 O11:U11 Q12:S16">
    <cfRule type="cellIs" dxfId="186" priority="240" operator="equal">
      <formula>1</formula>
    </cfRule>
  </conditionalFormatting>
  <conditionalFormatting sqref="AC11:AI17">
    <cfRule type="cellIs" dxfId="185" priority="235" operator="equal">
      <formula>1</formula>
    </cfRule>
  </conditionalFormatting>
  <conditionalFormatting sqref="AQ11:AW17">
    <cfRule type="cellIs" dxfId="184" priority="234" operator="equal">
      <formula>1</formula>
    </cfRule>
  </conditionalFormatting>
  <conditionalFormatting sqref="V22">
    <cfRule type="cellIs" dxfId="183" priority="233" operator="equal">
      <formula>1</formula>
    </cfRule>
  </conditionalFormatting>
  <conditionalFormatting sqref="A19:D25">
    <cfRule type="cellIs" dxfId="182" priority="232" operator="equal">
      <formula>1</formula>
    </cfRule>
  </conditionalFormatting>
  <conditionalFormatting sqref="AC19:AI25">
    <cfRule type="cellIs" dxfId="181" priority="228" operator="equal">
      <formula>1</formula>
    </cfRule>
  </conditionalFormatting>
  <conditionalFormatting sqref="E19:G25">
    <cfRule type="cellIs" dxfId="180" priority="230" operator="equal">
      <formula>1</formula>
    </cfRule>
  </conditionalFormatting>
  <conditionalFormatting sqref="O19:U25">
    <cfRule type="cellIs" dxfId="179" priority="231" operator="equal">
      <formula>1</formula>
    </cfRule>
  </conditionalFormatting>
  <conditionalFormatting sqref="AQ19:AW25">
    <cfRule type="cellIs" dxfId="178" priority="227" operator="equal">
      <formula>1</formula>
    </cfRule>
  </conditionalFormatting>
  <conditionalFormatting sqref="AX22">
    <cfRule type="cellIs" dxfId="177" priority="229" operator="equal">
      <formula>1</formula>
    </cfRule>
  </conditionalFormatting>
  <conditionalFormatting sqref="A27:G33">
    <cfRule type="cellIs" dxfId="176" priority="226" operator="equal">
      <formula>1</formula>
    </cfRule>
  </conditionalFormatting>
  <conditionalFormatting sqref="O27:U33">
    <cfRule type="cellIs" dxfId="175" priority="225" operator="equal">
      <formula>1</formula>
    </cfRule>
  </conditionalFormatting>
  <conditionalFormatting sqref="AX30 AQ27:AW33">
    <cfRule type="cellIs" dxfId="174" priority="224" operator="equal">
      <formula>1</formula>
    </cfRule>
  </conditionalFormatting>
  <conditionalFormatting sqref="AC32:AI33 AC27:AD31 AH27:AI31">
    <cfRule type="cellIs" dxfId="173" priority="223" operator="equal">
      <formula>1</formula>
    </cfRule>
  </conditionalFormatting>
  <conditionalFormatting sqref="V38">
    <cfRule type="cellIs" dxfId="172" priority="222" operator="equal">
      <formula>1</formula>
    </cfRule>
  </conditionalFormatting>
  <conditionalFormatting sqref="A35:G41">
    <cfRule type="cellIs" dxfId="171" priority="221" operator="equal">
      <formula>1</formula>
    </cfRule>
  </conditionalFormatting>
  <conditionalFormatting sqref="O35:U41">
    <cfRule type="cellIs" dxfId="170" priority="220" operator="equal">
      <formula>1</formula>
    </cfRule>
  </conditionalFormatting>
  <conditionalFormatting sqref="AC107:AI113">
    <cfRule type="cellIs" dxfId="169" priority="154" operator="equal">
      <formula>1</formula>
    </cfRule>
  </conditionalFormatting>
  <conditionalFormatting sqref="A43:G49">
    <cfRule type="cellIs" dxfId="168" priority="218" operator="equal">
      <formula>1</formula>
    </cfRule>
  </conditionalFormatting>
  <conditionalFormatting sqref="AJ38">
    <cfRule type="cellIs" dxfId="167" priority="217" operator="equal">
      <formula>1</formula>
    </cfRule>
  </conditionalFormatting>
  <conditionalFormatting sqref="AX38">
    <cfRule type="cellIs" dxfId="166" priority="215" operator="equal">
      <formula>1</formula>
    </cfRule>
  </conditionalFormatting>
  <conditionalFormatting sqref="AJ46">
    <cfRule type="cellIs" dxfId="165" priority="213" operator="equal">
      <formula>1</formula>
    </cfRule>
  </conditionalFormatting>
  <conditionalFormatting sqref="AC43:AI49">
    <cfRule type="cellIs" dxfId="164" priority="212" operator="equal">
      <formula>1</formula>
    </cfRule>
  </conditionalFormatting>
  <conditionalFormatting sqref="AX46">
    <cfRule type="cellIs" dxfId="163" priority="211" operator="equal">
      <formula>1</formula>
    </cfRule>
  </conditionalFormatting>
  <conditionalFormatting sqref="AQ43:AW49">
    <cfRule type="cellIs" dxfId="162" priority="210" operator="equal">
      <formula>1</formula>
    </cfRule>
  </conditionalFormatting>
  <conditionalFormatting sqref="H54">
    <cfRule type="cellIs" dxfId="161" priority="209" operator="equal">
      <formula>1</formula>
    </cfRule>
  </conditionalFormatting>
  <conditionalFormatting sqref="V54">
    <cfRule type="cellIs" dxfId="160" priority="207" operator="equal">
      <formula>1</formula>
    </cfRule>
  </conditionalFormatting>
  <conditionalFormatting sqref="AJ54">
    <cfRule type="cellIs" dxfId="159" priority="205" operator="equal">
      <formula>1</formula>
    </cfRule>
  </conditionalFormatting>
  <conditionalFormatting sqref="AX54">
    <cfRule type="cellIs" dxfId="158" priority="203" operator="equal">
      <formula>1</formula>
    </cfRule>
  </conditionalFormatting>
  <conditionalFormatting sqref="V62">
    <cfRule type="cellIs" dxfId="157" priority="199" operator="equal">
      <formula>1</formula>
    </cfRule>
  </conditionalFormatting>
  <conditionalFormatting sqref="S60:S65 O59:O65 O65:U65 S60:U64 T59:U65">
    <cfRule type="cellIs" dxfId="156" priority="198" operator="equal">
      <formula>1</formula>
    </cfRule>
  </conditionalFormatting>
  <conditionalFormatting sqref="AJ62">
    <cfRule type="cellIs" dxfId="155" priority="197" operator="equal">
      <formula>1</formula>
    </cfRule>
  </conditionalFormatting>
  <conditionalFormatting sqref="V70">
    <cfRule type="cellIs" dxfId="154" priority="191" operator="equal">
      <formula>1</formula>
    </cfRule>
  </conditionalFormatting>
  <conditionalFormatting sqref="AX62">
    <cfRule type="cellIs" dxfId="153" priority="195" operator="equal">
      <formula>1</formula>
    </cfRule>
  </conditionalFormatting>
  <conditionalFormatting sqref="H70">
    <cfRule type="cellIs" dxfId="152" priority="193" operator="equal">
      <formula>1</formula>
    </cfRule>
  </conditionalFormatting>
  <conditionalFormatting sqref="A67:G73">
    <cfRule type="cellIs" dxfId="151" priority="189" operator="equal">
      <formula>1</formula>
    </cfRule>
  </conditionalFormatting>
  <conditionalFormatting sqref="AC51:AI57">
    <cfRule type="cellIs" dxfId="150" priority="188" operator="equal">
      <formula>1</formula>
    </cfRule>
  </conditionalFormatting>
  <conditionalFormatting sqref="AQ51:AW57">
    <cfRule type="cellIs" dxfId="149" priority="187" operator="equal">
      <formula>1</formula>
    </cfRule>
  </conditionalFormatting>
  <conditionalFormatting sqref="O67:U73">
    <cfRule type="cellIs" dxfId="148" priority="186" operator="equal">
      <formula>1</formula>
    </cfRule>
  </conditionalFormatting>
  <conditionalFormatting sqref="AC35:AI41">
    <cfRule type="cellIs" dxfId="147" priority="184" operator="equal">
      <formula>1</formula>
    </cfRule>
  </conditionalFormatting>
  <conditionalFormatting sqref="O51:U57">
    <cfRule type="cellIs" dxfId="146" priority="182" operator="equal">
      <formula>1</formula>
    </cfRule>
  </conditionalFormatting>
  <conditionalFormatting sqref="A51:G57">
    <cfRule type="cellIs" dxfId="145" priority="183" operator="equal">
      <formula>1</formula>
    </cfRule>
  </conditionalFormatting>
  <conditionalFormatting sqref="A59:G65">
    <cfRule type="cellIs" dxfId="144" priority="180" operator="equal">
      <formula>1</formula>
    </cfRule>
  </conditionalFormatting>
  <conditionalFormatting sqref="AQ59:AW65">
    <cfRule type="cellIs" dxfId="143" priority="181" operator="equal">
      <formula>1</formula>
    </cfRule>
  </conditionalFormatting>
  <conditionalFormatting sqref="P59:S65">
    <cfRule type="cellIs" dxfId="142" priority="179" operator="equal">
      <formula>1</formula>
    </cfRule>
  </conditionalFormatting>
  <conditionalFormatting sqref="U135:U136 O135:T137 O131:U134">
    <cfRule type="cellIs" dxfId="141" priority="178" operator="equal">
      <formula>1</formula>
    </cfRule>
  </conditionalFormatting>
  <conditionalFormatting sqref="A139:G145">
    <cfRule type="cellIs" dxfId="140" priority="173" operator="equal">
      <formula>1</formula>
    </cfRule>
  </conditionalFormatting>
  <conditionalFormatting sqref="A187:B193 F187:G193">
    <cfRule type="cellIs" dxfId="139" priority="130" operator="equal">
      <formula>1</formula>
    </cfRule>
  </conditionalFormatting>
  <conditionalFormatting sqref="A131:G137">
    <cfRule type="cellIs" dxfId="138" priority="176" operator="equal">
      <formula>1</formula>
    </cfRule>
  </conditionalFormatting>
  <conditionalFormatting sqref="V145:AB145">
    <cfRule type="cellIs" dxfId="137" priority="175" operator="equal">
      <formula>1</formula>
    </cfRule>
  </conditionalFormatting>
  <conditionalFormatting sqref="V153:AB153">
    <cfRule type="cellIs" dxfId="136" priority="172" operator="equal">
      <formula>1</formula>
    </cfRule>
  </conditionalFormatting>
  <conditionalFormatting sqref="T156:U156 U157:U160 O155:U155 O156:R161 S157:T161">
    <cfRule type="cellIs" dxfId="135" priority="169" operator="equal">
      <formula>1</formula>
    </cfRule>
  </conditionalFormatting>
  <conditionalFormatting sqref="S156">
    <cfRule type="cellIs" dxfId="134" priority="168" operator="equal">
      <formula>1</formula>
    </cfRule>
  </conditionalFormatting>
  <conditionalFormatting sqref="A155:G161">
    <cfRule type="cellIs" dxfId="133" priority="167" operator="equal">
      <formula>1</formula>
    </cfRule>
  </conditionalFormatting>
  <conditionalFormatting sqref="O139:U145">
    <cfRule type="cellIs" dxfId="132" priority="165" operator="equal">
      <formula>1</formula>
    </cfRule>
  </conditionalFormatting>
  <conditionalFormatting sqref="F148:G148 E149:G153 A147:G147 A148:D151 A152:B153">
    <cfRule type="cellIs" dxfId="131" priority="164" operator="equal">
      <formula>1</formula>
    </cfRule>
  </conditionalFormatting>
  <conditionalFormatting sqref="E148">
    <cfRule type="cellIs" dxfId="130" priority="163" operator="equal">
      <formula>1</formula>
    </cfRule>
  </conditionalFormatting>
  <conditionalFormatting sqref="C152:D153">
    <cfRule type="cellIs" dxfId="129" priority="162" operator="equal">
      <formula>1</formula>
    </cfRule>
  </conditionalFormatting>
  <conditionalFormatting sqref="O147:U153">
    <cfRule type="cellIs" dxfId="128" priority="161" operator="equal">
      <formula>1</formula>
    </cfRule>
  </conditionalFormatting>
  <conditionalFormatting sqref="AC99:AI105">
    <cfRule type="cellIs" dxfId="127" priority="159" operator="equal">
      <formula>1</formula>
    </cfRule>
  </conditionalFormatting>
  <conditionalFormatting sqref="AX105:BD105 AQ99:AW105">
    <cfRule type="cellIs" dxfId="126" priority="160" operator="equal">
      <formula>1</formula>
    </cfRule>
  </conditionalFormatting>
  <conditionalFormatting sqref="V113:AB113 O107:U113">
    <cfRule type="cellIs" dxfId="125" priority="158" operator="equal">
      <formula>1</formula>
    </cfRule>
  </conditionalFormatting>
  <conditionalFormatting sqref="A107:G113">
    <cfRule type="cellIs" dxfId="124" priority="157" operator="equal">
      <formula>1</formula>
    </cfRule>
  </conditionalFormatting>
  <conditionalFormatting sqref="AV108:AW108 AW109:AW112 AQ107:AW107 AQ108:AT113 AU109:AV113">
    <cfRule type="cellIs" dxfId="123" priority="156" operator="equal">
      <formula>1</formula>
    </cfRule>
  </conditionalFormatting>
  <conditionalFormatting sqref="AU108">
    <cfRule type="cellIs" dxfId="122" priority="155" operator="equal">
      <formula>1</formula>
    </cfRule>
  </conditionalFormatting>
  <conditionalFormatting sqref="U119:U120 O119:T121 O115:U118">
    <cfRule type="cellIs" dxfId="121" priority="153" operator="equal">
      <formula>1</formula>
    </cfRule>
  </conditionalFormatting>
  <conditionalFormatting sqref="A115:G121">
    <cfRule type="cellIs" dxfId="120" priority="152" operator="equal">
      <formula>1</formula>
    </cfRule>
  </conditionalFormatting>
  <conditionalFormatting sqref="AX121:BD121">
    <cfRule type="cellIs" dxfId="119" priority="151" operator="equal">
      <formula>1</formula>
    </cfRule>
  </conditionalFormatting>
  <conditionalFormatting sqref="AC115:AI121">
    <cfRule type="cellIs" dxfId="118" priority="150" operator="equal">
      <formula>1</formula>
    </cfRule>
  </conditionalFormatting>
  <conditionalFormatting sqref="AQ115:AW121">
    <cfRule type="cellIs" dxfId="117" priority="149" operator="equal">
      <formula>1</formula>
    </cfRule>
  </conditionalFormatting>
  <conditionalFormatting sqref="V129:AB129">
    <cfRule type="cellIs" dxfId="116" priority="148" operator="equal">
      <formula>1</formula>
    </cfRule>
  </conditionalFormatting>
  <conditionalFormatting sqref="F124:G124 A123:G123 A124:D127 A128:B129 C129:E129 E125:G129">
    <cfRule type="cellIs" dxfId="115" priority="147" operator="equal">
      <formula>1</formula>
    </cfRule>
  </conditionalFormatting>
  <conditionalFormatting sqref="E124">
    <cfRule type="cellIs" dxfId="114" priority="146" operator="equal">
      <formula>1</formula>
    </cfRule>
  </conditionalFormatting>
  <conditionalFormatting sqref="C127:D129">
    <cfRule type="cellIs" dxfId="113" priority="145" operator="equal">
      <formula>1</formula>
    </cfRule>
  </conditionalFormatting>
  <conditionalFormatting sqref="O123:U129">
    <cfRule type="cellIs" dxfId="112" priority="144" operator="equal">
      <formula>1</formula>
    </cfRule>
  </conditionalFormatting>
  <conditionalFormatting sqref="AV124:AW124 AW125:AW128 AQ123:AW123 AQ124:AT129 AU125:AV129">
    <cfRule type="cellIs" dxfId="111" priority="143" operator="equal">
      <formula>1</formula>
    </cfRule>
  </conditionalFormatting>
  <conditionalFormatting sqref="AU124">
    <cfRule type="cellIs" dxfId="110" priority="142" operator="equal">
      <formula>1</formula>
    </cfRule>
  </conditionalFormatting>
  <conditionalFormatting sqref="AC123:AI129">
    <cfRule type="cellIs" dxfId="109" priority="141" operator="equal">
      <formula>1</formula>
    </cfRule>
  </conditionalFormatting>
  <conditionalFormatting sqref="AC179">
    <cfRule type="cellIs" dxfId="108" priority="114" operator="equal">
      <formula>1</formula>
    </cfRule>
  </conditionalFormatting>
  <conditionalFormatting sqref="AC131">
    <cfRule type="cellIs" dxfId="107" priority="140" operator="equal">
      <formula>1</formula>
    </cfRule>
  </conditionalFormatting>
  <conditionalFormatting sqref="V169:AB169 O163:O169 P169:T169">
    <cfRule type="cellIs" dxfId="106" priority="139" operator="equal">
      <formula>1</formula>
    </cfRule>
  </conditionalFormatting>
  <conditionalFormatting sqref="A171:G177">
    <cfRule type="cellIs" dxfId="105" priority="135" operator="equal">
      <formula>1</formula>
    </cfRule>
  </conditionalFormatting>
  <conditionalFormatting sqref="O171:O177 V177:AB177">
    <cfRule type="cellIs" dxfId="104" priority="136" operator="equal">
      <formula>1</formula>
    </cfRule>
  </conditionalFormatting>
  <conditionalFormatting sqref="V185:AB185 O179:U185">
    <cfRule type="cellIs" dxfId="103" priority="134" operator="equal">
      <formula>1</formula>
    </cfRule>
  </conditionalFormatting>
  <conditionalFormatting sqref="A179:G185">
    <cfRule type="cellIs" dxfId="102" priority="133" operator="equal">
      <formula>1</formula>
    </cfRule>
  </conditionalFormatting>
  <conditionalFormatting sqref="U189:U192 S188:U188 O187:U187 O188:R193 R189:T193 P188:S192">
    <cfRule type="cellIs" dxfId="101" priority="132" operator="equal">
      <formula>1</formula>
    </cfRule>
  </conditionalFormatting>
  <conditionalFormatting sqref="S188">
    <cfRule type="cellIs" dxfId="100" priority="131" operator="equal">
      <formula>1</formula>
    </cfRule>
  </conditionalFormatting>
  <conditionalFormatting sqref="O163:U169">
    <cfRule type="cellIs" dxfId="99" priority="129" operator="equal">
      <formula>1</formula>
    </cfRule>
  </conditionalFormatting>
  <conditionalFormatting sqref="A163:G169">
    <cfRule type="cellIs" dxfId="98" priority="128" operator="equal">
      <formula>1</formula>
    </cfRule>
  </conditionalFormatting>
  <conditionalFormatting sqref="O171:U177">
    <cfRule type="cellIs" dxfId="97" priority="127" operator="equal">
      <formula>1</formula>
    </cfRule>
  </conditionalFormatting>
  <conditionalFormatting sqref="B187:F193">
    <cfRule type="cellIs" dxfId="96" priority="126" operator="equal">
      <formula>1</formula>
    </cfRule>
  </conditionalFormatting>
  <conditionalFormatting sqref="V201:AB201">
    <cfRule type="cellIs" dxfId="95" priority="124" operator="equal">
      <formula>1</formula>
    </cfRule>
  </conditionalFormatting>
  <conditionalFormatting sqref="G195:G201">
    <cfRule type="cellIs" dxfId="94" priority="117" operator="equal">
      <formula>1</formula>
    </cfRule>
  </conditionalFormatting>
  <conditionalFormatting sqref="A203:G209">
    <cfRule type="cellIs" dxfId="93" priority="111" operator="equal">
      <formula>1</formula>
    </cfRule>
  </conditionalFormatting>
  <conditionalFormatting sqref="Q204:T209">
    <cfRule type="cellIs" dxfId="92" priority="110" operator="equal">
      <formula>1</formula>
    </cfRule>
  </conditionalFormatting>
  <conditionalFormatting sqref="V209:AB209 O203:O209">
    <cfRule type="cellIs" dxfId="91" priority="113" operator="equal">
      <formula>1</formula>
    </cfRule>
  </conditionalFormatting>
  <conditionalFormatting sqref="U204:U209 P203:U203 P204:P209">
    <cfRule type="cellIs" dxfId="90" priority="112" operator="equal">
      <formula>1</formula>
    </cfRule>
  </conditionalFormatting>
  <conditionalFormatting sqref="V217:AB217 O211:O217">
    <cfRule type="cellIs" dxfId="89" priority="109" operator="equal">
      <formula>1</formula>
    </cfRule>
  </conditionalFormatting>
  <conditionalFormatting sqref="P212:P217 T217:U217 P211:U211">
    <cfRule type="cellIs" dxfId="88" priority="108" operator="equal">
      <formula>1</formula>
    </cfRule>
  </conditionalFormatting>
  <conditionalFormatting sqref="A211:G217">
    <cfRule type="cellIs" dxfId="87" priority="107" operator="equal">
      <formula>1</formula>
    </cfRule>
  </conditionalFormatting>
  <conditionalFormatting sqref="P217:T217 P212:U216">
    <cfRule type="cellIs" dxfId="86" priority="106" operator="equal">
      <formula>1</formula>
    </cfRule>
  </conditionalFormatting>
  <conditionalFormatting sqref="H225:N225 A219:A225">
    <cfRule type="cellIs" dxfId="85" priority="105" operator="equal">
      <formula>1</formula>
    </cfRule>
  </conditionalFormatting>
  <conditionalFormatting sqref="B220:B225 F220:G225 B219:G219">
    <cfRule type="cellIs" dxfId="84" priority="104" operator="equal">
      <formula>1</formula>
    </cfRule>
  </conditionalFormatting>
  <conditionalFormatting sqref="B220:F225">
    <cfRule type="cellIs" dxfId="83" priority="103" operator="equal">
      <formula>1</formula>
    </cfRule>
  </conditionalFormatting>
  <conditionalFormatting sqref="O219:O221 V225:AB225">
    <cfRule type="cellIs" dxfId="82" priority="102" operator="equal">
      <formula>1</formula>
    </cfRule>
  </conditionalFormatting>
  <conditionalFormatting sqref="P219:U221">
    <cfRule type="cellIs" dxfId="81" priority="99" operator="equal">
      <formula>1</formula>
    </cfRule>
  </conditionalFormatting>
  <conditionalFormatting sqref="P219:P221 U219:U221">
    <cfRule type="cellIs" dxfId="80" priority="98" operator="equal">
      <formula>1</formula>
    </cfRule>
  </conditionalFormatting>
  <conditionalFormatting sqref="P219:T221">
    <cfRule type="cellIs" dxfId="79" priority="97" operator="equal">
      <formula>1</formula>
    </cfRule>
  </conditionalFormatting>
  <conditionalFormatting sqref="O222:U225 P221:T224">
    <cfRule type="cellIs" dxfId="78" priority="96" operator="equal">
      <formula>1</formula>
    </cfRule>
  </conditionalFormatting>
  <conditionalFormatting sqref="BV3:BV9">
    <cfRule type="cellIs" dxfId="77" priority="92" operator="equal">
      <formula>1</formula>
    </cfRule>
  </conditionalFormatting>
  <conditionalFormatting sqref="BU3:BU9 CA3:CA9">
    <cfRule type="cellIs" dxfId="76" priority="94" operator="equal">
      <formula>1</formula>
    </cfRule>
  </conditionalFormatting>
  <conditionalFormatting sqref="BV3:BY8 BW3:BZ9">
    <cfRule type="cellIs" dxfId="75" priority="93" operator="equal">
      <formula>1</formula>
    </cfRule>
  </conditionalFormatting>
  <conditionalFormatting sqref="BN14">
    <cfRule type="cellIs" dxfId="74" priority="91" operator="equal">
      <formula>1</formula>
    </cfRule>
  </conditionalFormatting>
  <conditionalFormatting sqref="BG11:BM17">
    <cfRule type="cellIs" dxfId="73" priority="90" operator="equal">
      <formula>1</formula>
    </cfRule>
  </conditionalFormatting>
  <conditionalFormatting sqref="BV11:BV17 BW16:BX16">
    <cfRule type="cellIs" dxfId="72" priority="87" operator="equal">
      <formula>1</formula>
    </cfRule>
  </conditionalFormatting>
  <conditionalFormatting sqref="BU11:BU17 CA11:CA17">
    <cfRule type="cellIs" dxfId="71" priority="89" operator="equal">
      <formula>1</formula>
    </cfRule>
  </conditionalFormatting>
  <conditionalFormatting sqref="BV11:BZ17">
    <cfRule type="cellIs" dxfId="70" priority="88" operator="equal">
      <formula>1</formula>
    </cfRule>
  </conditionalFormatting>
  <conditionalFormatting sqref="BN22">
    <cfRule type="cellIs" dxfId="69" priority="86" operator="equal">
      <formula>1</formula>
    </cfRule>
  </conditionalFormatting>
  <conditionalFormatting sqref="BG27:BG33 BM27:BM32 BH33:BM33">
    <cfRule type="cellIs" dxfId="68" priority="81" operator="equal">
      <formula>1</formula>
    </cfRule>
  </conditionalFormatting>
  <conditionalFormatting sqref="BI27:BL32">
    <cfRule type="cellIs" dxfId="67" priority="80" operator="equal">
      <formula>1</formula>
    </cfRule>
  </conditionalFormatting>
  <conditionalFormatting sqref="BU35:CA41">
    <cfRule type="cellIs" dxfId="66" priority="76" operator="equal">
      <formula>1</formula>
    </cfRule>
  </conditionalFormatting>
  <conditionalFormatting sqref="BH27:BH32">
    <cfRule type="cellIs" dxfId="65" priority="79" operator="equal">
      <formula>1</formula>
    </cfRule>
  </conditionalFormatting>
  <conditionalFormatting sqref="BU43:CA46 BU49:CA49 BU47:BY47 CA47 BZ47:BZ48">
    <cfRule type="cellIs" dxfId="64" priority="74" operator="equal">
      <formula>1</formula>
    </cfRule>
  </conditionalFormatting>
  <conditionalFormatting sqref="CB30">
    <cfRule type="cellIs" dxfId="63" priority="78" operator="equal">
      <formula>1</formula>
    </cfRule>
  </conditionalFormatting>
  <conditionalFormatting sqref="BG51:BM57">
    <cfRule type="cellIs" dxfId="62" priority="73" operator="equal">
      <formula>1</formula>
    </cfRule>
  </conditionalFormatting>
  <conditionalFormatting sqref="BG35:BM41">
    <cfRule type="cellIs" dxfId="61" priority="77" operator="equal">
      <formula>1</formula>
    </cfRule>
  </conditionalFormatting>
  <conditionalFormatting sqref="CB54 BU51:CA57">
    <cfRule type="cellIs" dxfId="60" priority="72" operator="equal">
      <formula>1</formula>
    </cfRule>
  </conditionalFormatting>
  <conditionalFormatting sqref="CB62">
    <cfRule type="cellIs" dxfId="59" priority="70" operator="equal">
      <formula>1</formula>
    </cfRule>
  </conditionalFormatting>
  <conditionalFormatting sqref="BU67:CA73">
    <cfRule type="cellIs" dxfId="58" priority="66" operator="equal">
      <formula>1</formula>
    </cfRule>
  </conditionalFormatting>
  <conditionalFormatting sqref="BG67:BM73">
    <cfRule type="cellIs" dxfId="57" priority="68" operator="equal">
      <formula>1</formula>
    </cfRule>
  </conditionalFormatting>
  <conditionalFormatting sqref="CB70">
    <cfRule type="cellIs" dxfId="56" priority="67" operator="equal">
      <formula>1</formula>
    </cfRule>
  </conditionalFormatting>
  <conditionalFormatting sqref="BN81:BT81 BG75:BG81">
    <cfRule type="cellIs" dxfId="55" priority="65" operator="equal">
      <formula>1</formula>
    </cfRule>
  </conditionalFormatting>
  <conditionalFormatting sqref="BG75:BM81">
    <cfRule type="cellIs" dxfId="54" priority="64" operator="equal">
      <formula>1</formula>
    </cfRule>
  </conditionalFormatting>
  <conditionalFormatting sqref="BN86 BG83:BM89">
    <cfRule type="cellIs" dxfId="53" priority="62" operator="equal">
      <formula>1</formula>
    </cfRule>
  </conditionalFormatting>
  <conditionalFormatting sqref="CB86 BU83:CA89">
    <cfRule type="cellIs" dxfId="52" priority="61" operator="equal">
      <formula>1</formula>
    </cfRule>
  </conditionalFormatting>
  <conditionalFormatting sqref="BG91:BM97">
    <cfRule type="cellIs" dxfId="51" priority="60" operator="equal">
      <formula>1</formula>
    </cfRule>
  </conditionalFormatting>
  <conditionalFormatting sqref="CB94">
    <cfRule type="cellIs" dxfId="50" priority="59" operator="equal">
      <formula>1</formula>
    </cfRule>
  </conditionalFormatting>
  <conditionalFormatting sqref="BN102 BG99:BM105">
    <cfRule type="cellIs" dxfId="49" priority="57" operator="equal">
      <formula>1</formula>
    </cfRule>
  </conditionalFormatting>
  <conditionalFormatting sqref="CB102">
    <cfRule type="cellIs" dxfId="48" priority="56" operator="equal">
      <formula>1</formula>
    </cfRule>
  </conditionalFormatting>
  <conditionalFormatting sqref="BU99:CA105">
    <cfRule type="cellIs" dxfId="47" priority="55" operator="equal">
      <formula>1</formula>
    </cfRule>
  </conditionalFormatting>
  <conditionalFormatting sqref="BG107">
    <cfRule type="cellIs" dxfId="46" priority="54" operator="equal">
      <formula>1</formula>
    </cfRule>
  </conditionalFormatting>
  <conditionalFormatting sqref="H233:N233 A227:G233">
    <cfRule type="cellIs" dxfId="45" priority="53" operator="equal">
      <formula>1</formula>
    </cfRule>
  </conditionalFormatting>
  <conditionalFormatting sqref="S3:U9">
    <cfRule type="cellIs" dxfId="44" priority="48" operator="equal">
      <formula>1</formula>
    </cfRule>
  </conditionalFormatting>
  <conditionalFormatting sqref="BG3:BM9">
    <cfRule type="cellIs" dxfId="43" priority="47" operator="equal">
      <formula>1</formula>
    </cfRule>
  </conditionalFormatting>
  <conditionalFormatting sqref="B11:B17">
    <cfRule type="cellIs" dxfId="42" priority="44" operator="equal">
      <formula>1</formula>
    </cfRule>
  </conditionalFormatting>
  <conditionalFormatting sqref="A11:A17 G11:G17">
    <cfRule type="cellIs" dxfId="41" priority="46" operator="equal">
      <formula>1</formula>
    </cfRule>
  </conditionalFormatting>
  <conditionalFormatting sqref="B11:E16 C17:E17 F11:F17">
    <cfRule type="cellIs" dxfId="40" priority="45" operator="equal">
      <formula>1</formula>
    </cfRule>
  </conditionalFormatting>
  <conditionalFormatting sqref="P12:P16">
    <cfRule type="cellIs" dxfId="39" priority="43" operator="equal">
      <formula>1</formula>
    </cfRule>
  </conditionalFormatting>
  <conditionalFormatting sqref="AQ35:AW41">
    <cfRule type="cellIs" dxfId="38" priority="42" operator="equal">
      <formula>1</formula>
    </cfRule>
  </conditionalFormatting>
  <conditionalFormatting sqref="BU19:CA25">
    <cfRule type="cellIs" dxfId="37" priority="40" operator="equal">
      <formula>1</formula>
    </cfRule>
  </conditionalFormatting>
  <conditionalFormatting sqref="BG43:BM49">
    <cfRule type="cellIs" dxfId="36" priority="39" operator="equal">
      <formula>1</formula>
    </cfRule>
  </conditionalFormatting>
  <conditionalFormatting sqref="BU27:CA33">
    <cfRule type="cellIs" dxfId="35" priority="38" operator="equal">
      <formula>1</formula>
    </cfRule>
  </conditionalFormatting>
  <conditionalFormatting sqref="BX41:BY41">
    <cfRule type="cellIs" dxfId="34" priority="37" operator="equal">
      <formula>1</formula>
    </cfRule>
  </conditionalFormatting>
  <conditionalFormatting sqref="BU48:BY48 CA48">
    <cfRule type="cellIs" dxfId="33" priority="36" operator="equal">
      <formula>1</formula>
    </cfRule>
  </conditionalFormatting>
  <conditionalFormatting sqref="AE27:AG31">
    <cfRule type="cellIs" dxfId="32" priority="35" operator="equal">
      <formula>1</formula>
    </cfRule>
  </conditionalFormatting>
  <conditionalFormatting sqref="BU75:CA81">
    <cfRule type="cellIs" dxfId="31" priority="31" operator="equal">
      <formula>1</formula>
    </cfRule>
  </conditionalFormatting>
  <conditionalFormatting sqref="AC59:AI65">
    <cfRule type="cellIs" dxfId="30" priority="34" operator="equal">
      <formula>1</formula>
    </cfRule>
  </conditionalFormatting>
  <conditionalFormatting sqref="BG59:BM65">
    <cfRule type="cellIs" dxfId="29" priority="33" operator="equal">
      <formula>1</formula>
    </cfRule>
  </conditionalFormatting>
  <conditionalFormatting sqref="BU59:CA65">
    <cfRule type="cellIs" dxfId="28" priority="32" operator="equal">
      <formula>1</formula>
    </cfRule>
  </conditionalFormatting>
  <conditionalFormatting sqref="BU91:CA97">
    <cfRule type="cellIs" dxfId="27" priority="30" operator="equal">
      <formula>1</formula>
    </cfRule>
  </conditionalFormatting>
  <conditionalFormatting sqref="R105:S105">
    <cfRule type="cellIs" dxfId="26" priority="29" operator="equal">
      <formula>1</formula>
    </cfRule>
  </conditionalFormatting>
  <conditionalFormatting sqref="R188">
    <cfRule type="cellIs" dxfId="25" priority="28" operator="equal">
      <formula>1</formula>
    </cfRule>
  </conditionalFormatting>
  <conditionalFormatting sqref="P193:S193">
    <cfRule type="cellIs" dxfId="24" priority="27" operator="equal">
      <formula>1</formula>
    </cfRule>
  </conditionalFormatting>
  <conditionalFormatting sqref="A195:B201 F195:F201">
    <cfRule type="cellIs" dxfId="23" priority="26" operator="equal">
      <formula>1</formula>
    </cfRule>
  </conditionalFormatting>
  <conditionalFormatting sqref="B195:F201">
    <cfRule type="cellIs" dxfId="22" priority="25" operator="equal">
      <formula>1</formula>
    </cfRule>
  </conditionalFormatting>
  <conditionalFormatting sqref="U195:U201">
    <cfRule type="cellIs" dxfId="21" priority="24" operator="equal">
      <formula>1</formula>
    </cfRule>
  </conditionalFormatting>
  <conditionalFormatting sqref="U195:U201">
    <cfRule type="cellIs" dxfId="20" priority="22" operator="equal">
      <formula>1</formula>
    </cfRule>
  </conditionalFormatting>
  <conditionalFormatting sqref="O195:P201 T195:T201">
    <cfRule type="cellIs" dxfId="19" priority="21" operator="equal">
      <formula>1</formula>
    </cfRule>
  </conditionalFormatting>
  <conditionalFormatting sqref="P195:T201">
    <cfRule type="cellIs" dxfId="18" priority="20" operator="equal">
      <formula>1</formula>
    </cfRule>
  </conditionalFormatting>
  <conditionalFormatting sqref="P209">
    <cfRule type="cellIs" dxfId="17" priority="19" operator="equal">
      <formula>1</formula>
    </cfRule>
  </conditionalFormatting>
  <conditionalFormatting sqref="BG19:BM25">
    <cfRule type="cellIs" dxfId="16" priority="17" operator="equal">
      <formula>1</formula>
    </cfRule>
  </conditionalFormatting>
  <conditionalFormatting sqref="BU142:CH142 BU145:CH145 BU143:CA144 BU139:CA139 BV140:BZ144">
    <cfRule type="cellIs" dxfId="15" priority="16" operator="equal">
      <formula>1</formula>
    </cfRule>
  </conditionalFormatting>
  <conditionalFormatting sqref="BE139:BF145 BU140:CA141">
    <cfRule type="cellIs" dxfId="14" priority="15" operator="equal">
      <formula>1</formula>
    </cfRule>
  </conditionalFormatting>
  <conditionalFormatting sqref="BN142 BG139:BM145">
    <cfRule type="cellIs" dxfId="13" priority="14" operator="equal">
      <formula>1</formula>
    </cfRule>
  </conditionalFormatting>
  <conditionalFormatting sqref="CB142">
    <cfRule type="cellIs" dxfId="12" priority="13" operator="equal">
      <formula>1</formula>
    </cfRule>
  </conditionalFormatting>
  <conditionalFormatting sqref="BU139:CA145">
    <cfRule type="cellIs" dxfId="11" priority="12" operator="equal">
      <formula>1</formula>
    </cfRule>
  </conditionalFormatting>
  <conditionalFormatting sqref="BU147:CA147 BU150:CH150 BU153:CH153 BU151:CA152">
    <cfRule type="cellIs" dxfId="10" priority="11" operator="equal">
      <formula>1</formula>
    </cfRule>
  </conditionalFormatting>
  <conditionalFormatting sqref="BE147:BF153 BU148:CA149">
    <cfRule type="cellIs" dxfId="9" priority="10" operator="equal">
      <formula>1</formula>
    </cfRule>
  </conditionalFormatting>
  <conditionalFormatting sqref="BN150 BG153:BM153 BL147:BM152 BG147:BI152 BJ148:BJ151">
    <cfRule type="cellIs" dxfId="8" priority="9" operator="equal">
      <formula>1</formula>
    </cfRule>
  </conditionalFormatting>
  <conditionalFormatting sqref="CB150">
    <cfRule type="cellIs" dxfId="7" priority="8" operator="equal">
      <formula>1</formula>
    </cfRule>
  </conditionalFormatting>
  <conditionalFormatting sqref="BU147:CA153">
    <cfRule type="cellIs" dxfId="6" priority="7" operator="equal">
      <formula>1</formula>
    </cfRule>
  </conditionalFormatting>
  <conditionalFormatting sqref="BU155:CA155 BU161:CH161 BU158:CH158 BU159:CA160 BV155:BV160">
    <cfRule type="cellIs" dxfId="5" priority="6" operator="equal">
      <formula>1</formula>
    </cfRule>
  </conditionalFormatting>
  <conditionalFormatting sqref="BU156:CA157">
    <cfRule type="cellIs" dxfId="4" priority="5" operator="equal">
      <formula>1</formula>
    </cfRule>
  </conditionalFormatting>
  <conditionalFormatting sqref="BN158 BG155:BM161">
    <cfRule type="cellIs" dxfId="3" priority="4" operator="equal">
      <formula>1</formula>
    </cfRule>
  </conditionalFormatting>
  <conditionalFormatting sqref="CB158">
    <cfRule type="cellIs" dxfId="2" priority="3" operator="equal">
      <formula>1</formula>
    </cfRule>
  </conditionalFormatting>
  <conditionalFormatting sqref="BU155:CA161">
    <cfRule type="cellIs" dxfId="1" priority="2" operator="equal">
      <formula>1</formula>
    </cfRule>
  </conditionalFormatting>
  <conditionalFormatting sqref="BJ147:BK147 BJ152:BK152 BK148:BK151">
    <cfRule type="cellIs" dxfId="0" priority="1" operator="equal">
      <formula>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Timur</dc:creator>
  <cp:lastModifiedBy>Timur</cp:lastModifiedBy>
  <dcterms:created xsi:type="dcterms:W3CDTF">2024-11-30T17:48:28Z</dcterms:created>
  <dcterms:modified xsi:type="dcterms:W3CDTF">2026-07-25T20:12:00Z</dcterms:modified>
</cp:coreProperties>
</file>