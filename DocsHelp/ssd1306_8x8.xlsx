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ur\Desktop\Programming\STM32Projects\STM32F4_Libraries\DocsHelp\"/>
    </mc:Choice>
  </mc:AlternateContent>
  <bookViews>
    <workbookView xWindow="0" yWindow="0" windowWidth="16695" windowHeight="39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183" i="1" l="1"/>
  <c r="CT174" i="1"/>
  <c r="CS174" i="1"/>
  <c r="CR174" i="1"/>
  <c r="CQ174" i="1"/>
  <c r="CP174" i="1"/>
  <c r="CO174" i="1"/>
  <c r="CN174" i="1"/>
  <c r="CM174" i="1"/>
  <c r="CD174" i="1"/>
  <c r="CC174" i="1"/>
  <c r="CB174" i="1"/>
  <c r="CA174" i="1"/>
  <c r="BZ174" i="1"/>
  <c r="BY174" i="1"/>
  <c r="BX174" i="1"/>
  <c r="BW174" i="1"/>
  <c r="CT165" i="1"/>
  <c r="CS165" i="1"/>
  <c r="CR165" i="1"/>
  <c r="CQ165" i="1"/>
  <c r="CP165" i="1"/>
  <c r="CO165" i="1"/>
  <c r="CN165" i="1"/>
  <c r="CM165" i="1"/>
  <c r="CD165" i="1"/>
  <c r="CC165" i="1"/>
  <c r="CB165" i="1"/>
  <c r="CA165" i="1"/>
  <c r="BZ165" i="1"/>
  <c r="BY165" i="1"/>
  <c r="BX165" i="1"/>
  <c r="BW165" i="1"/>
  <c r="CT156" i="1"/>
  <c r="CS156" i="1"/>
  <c r="CR156" i="1"/>
  <c r="CQ156" i="1"/>
  <c r="CP156" i="1"/>
  <c r="CO156" i="1"/>
  <c r="CN156" i="1"/>
  <c r="CM156" i="1"/>
  <c r="CD156" i="1"/>
  <c r="CC156" i="1"/>
  <c r="CB156" i="1"/>
  <c r="CA156" i="1"/>
  <c r="BZ156" i="1"/>
  <c r="BY156" i="1"/>
  <c r="BX156" i="1"/>
  <c r="BW156" i="1"/>
  <c r="CM157" i="1" l="1"/>
  <c r="CM160" i="1" s="1"/>
  <c r="BW157" i="1"/>
  <c r="BW160" i="1" s="1"/>
  <c r="BW166" i="1"/>
  <c r="BW169" i="1" s="1"/>
  <c r="CM166" i="1"/>
  <c r="CM169" i="1" s="1"/>
  <c r="CM175" i="1"/>
  <c r="CM178" i="1" s="1"/>
  <c r="BW175" i="1"/>
  <c r="BW178" i="1" s="1"/>
  <c r="I259" i="1"/>
  <c r="I250" i="1"/>
  <c r="Y250" i="1"/>
  <c r="Y241" i="1"/>
  <c r="I241" i="1"/>
  <c r="Y232" i="1"/>
  <c r="I232" i="1"/>
  <c r="Y223" i="1"/>
  <c r="I223" i="1"/>
  <c r="Y214" i="1"/>
  <c r="I214" i="1"/>
  <c r="Y205" i="1"/>
  <c r="I205" i="1"/>
  <c r="Y196" i="1"/>
  <c r="I196" i="1"/>
  <c r="Y187" i="1"/>
  <c r="I187" i="1"/>
  <c r="BE142" i="1"/>
  <c r="AO142" i="1"/>
  <c r="Y142" i="1"/>
  <c r="I142" i="1"/>
  <c r="I133" i="1"/>
  <c r="Y133" i="1"/>
  <c r="AO133" i="1"/>
  <c r="BE133" i="1"/>
  <c r="BE124" i="1"/>
  <c r="AO124" i="1"/>
  <c r="Y124" i="1"/>
  <c r="I124" i="1"/>
  <c r="I115" i="1"/>
  <c r="Y115" i="1"/>
  <c r="AO115" i="1"/>
  <c r="BE115" i="1"/>
  <c r="BW115" i="1"/>
  <c r="CM115" i="1"/>
  <c r="CM106" i="1"/>
  <c r="BW106" i="1"/>
  <c r="BW97" i="1"/>
  <c r="CM97" i="1"/>
  <c r="CM88" i="1"/>
  <c r="BW88" i="1"/>
  <c r="CM79" i="1"/>
  <c r="BW79" i="1"/>
  <c r="Y79" i="1"/>
  <c r="I79" i="1"/>
  <c r="I70" i="1"/>
  <c r="Y70" i="1"/>
  <c r="AO70" i="1"/>
  <c r="BE70" i="1"/>
  <c r="BW70" i="1"/>
  <c r="CM70" i="1"/>
  <c r="CM61" i="1"/>
  <c r="BW61" i="1"/>
  <c r="BE61" i="1"/>
  <c r="AO61" i="1"/>
  <c r="Y61" i="1"/>
  <c r="I61" i="1"/>
  <c r="I52" i="1"/>
  <c r="Y52" i="1"/>
  <c r="AO52" i="1"/>
  <c r="BE52" i="1"/>
  <c r="BW52" i="1"/>
  <c r="CM52" i="1"/>
  <c r="CM43" i="1"/>
  <c r="BW43" i="1"/>
  <c r="BE43" i="1"/>
  <c r="AO43" i="1"/>
  <c r="Y43" i="1"/>
  <c r="I43" i="1"/>
  <c r="I34" i="1"/>
  <c r="Y34" i="1"/>
  <c r="AO34" i="1"/>
  <c r="BE34" i="1"/>
  <c r="BW34" i="1"/>
  <c r="CM34" i="1"/>
  <c r="CM25" i="1"/>
  <c r="BW25" i="1"/>
  <c r="BE25" i="1"/>
  <c r="AO25" i="1"/>
  <c r="Y25" i="1"/>
  <c r="I25" i="1"/>
  <c r="I16" i="1"/>
  <c r="Y16" i="1"/>
  <c r="AO16" i="1"/>
  <c r="BE16" i="1"/>
  <c r="BW16" i="1"/>
  <c r="CM16" i="1"/>
  <c r="CM7" i="1"/>
  <c r="BW7" i="1"/>
  <c r="BE7" i="1"/>
  <c r="I7" i="1"/>
  <c r="Y7" i="1"/>
  <c r="AO7" i="1"/>
  <c r="P255" i="1" l="1"/>
  <c r="O255" i="1"/>
  <c r="N255" i="1"/>
  <c r="M255" i="1"/>
  <c r="L255" i="1"/>
  <c r="K255" i="1"/>
  <c r="J255" i="1"/>
  <c r="I255" i="1"/>
  <c r="I256" i="1" s="1"/>
  <c r="CM111" i="1"/>
  <c r="CN111" i="1"/>
  <c r="CO111" i="1"/>
  <c r="CP111" i="1"/>
  <c r="CQ111" i="1"/>
  <c r="CR111" i="1"/>
  <c r="CS111" i="1"/>
  <c r="CT111" i="1"/>
  <c r="CD111" i="1"/>
  <c r="CC111" i="1"/>
  <c r="CB111" i="1"/>
  <c r="CA111" i="1"/>
  <c r="BZ111" i="1"/>
  <c r="BY111" i="1"/>
  <c r="BX111" i="1"/>
  <c r="BW111" i="1"/>
  <c r="CT102" i="1"/>
  <c r="CS102" i="1"/>
  <c r="CR102" i="1"/>
  <c r="CQ102" i="1"/>
  <c r="CP102" i="1"/>
  <c r="CO102" i="1"/>
  <c r="CN102" i="1"/>
  <c r="CM102" i="1"/>
  <c r="CM103" i="1" s="1"/>
  <c r="CD102" i="1"/>
  <c r="CC102" i="1"/>
  <c r="CB102" i="1"/>
  <c r="CA102" i="1"/>
  <c r="BZ102" i="1"/>
  <c r="BY102" i="1"/>
  <c r="BX102" i="1"/>
  <c r="BW102" i="1"/>
  <c r="CT93" i="1"/>
  <c r="CS93" i="1"/>
  <c r="CR93" i="1"/>
  <c r="CQ93" i="1"/>
  <c r="CP93" i="1"/>
  <c r="CO93" i="1"/>
  <c r="CN93" i="1"/>
  <c r="CM93" i="1"/>
  <c r="CD93" i="1"/>
  <c r="CC93" i="1"/>
  <c r="CB93" i="1"/>
  <c r="CA93" i="1"/>
  <c r="BZ93" i="1"/>
  <c r="BY93" i="1"/>
  <c r="BX93" i="1"/>
  <c r="BW93" i="1"/>
  <c r="CT84" i="1"/>
  <c r="CS84" i="1"/>
  <c r="CR84" i="1"/>
  <c r="CQ84" i="1"/>
  <c r="CP84" i="1"/>
  <c r="CO84" i="1"/>
  <c r="CN84" i="1"/>
  <c r="CM84" i="1"/>
  <c r="CM85" i="1" s="1"/>
  <c r="CD84" i="1"/>
  <c r="CC84" i="1"/>
  <c r="CB84" i="1"/>
  <c r="CA84" i="1"/>
  <c r="BZ84" i="1"/>
  <c r="BY84" i="1"/>
  <c r="BX84" i="1"/>
  <c r="BW84" i="1"/>
  <c r="CT75" i="1"/>
  <c r="CS75" i="1"/>
  <c r="CR75" i="1"/>
  <c r="CQ75" i="1"/>
  <c r="CP75" i="1"/>
  <c r="CO75" i="1"/>
  <c r="CN75" i="1"/>
  <c r="CM75" i="1"/>
  <c r="CD75" i="1"/>
  <c r="CC75" i="1"/>
  <c r="CB75" i="1"/>
  <c r="CA75" i="1"/>
  <c r="BZ75" i="1"/>
  <c r="BY75" i="1"/>
  <c r="BX75" i="1"/>
  <c r="BW75" i="1"/>
  <c r="CT66" i="1"/>
  <c r="CS66" i="1"/>
  <c r="CR66" i="1"/>
  <c r="CQ66" i="1"/>
  <c r="CP66" i="1"/>
  <c r="CO66" i="1"/>
  <c r="CN66" i="1"/>
  <c r="CM66" i="1"/>
  <c r="CM67" i="1" s="1"/>
  <c r="CD66" i="1"/>
  <c r="CC66" i="1"/>
  <c r="CB66" i="1"/>
  <c r="CA66" i="1"/>
  <c r="BZ66" i="1"/>
  <c r="BY66" i="1"/>
  <c r="BX66" i="1"/>
  <c r="BW66" i="1"/>
  <c r="BW67" i="1" s="1"/>
  <c r="CT57" i="1"/>
  <c r="CS57" i="1"/>
  <c r="CR57" i="1"/>
  <c r="CQ57" i="1"/>
  <c r="CP57" i="1"/>
  <c r="CO57" i="1"/>
  <c r="CN57" i="1"/>
  <c r="CM57" i="1"/>
  <c r="CD57" i="1"/>
  <c r="CC57" i="1"/>
  <c r="CB57" i="1"/>
  <c r="CA57" i="1"/>
  <c r="BZ57" i="1"/>
  <c r="BY57" i="1"/>
  <c r="BX57" i="1"/>
  <c r="BW57" i="1"/>
  <c r="BW58" i="1" s="1"/>
  <c r="CT48" i="1"/>
  <c r="CS48" i="1"/>
  <c r="CR48" i="1"/>
  <c r="CQ48" i="1"/>
  <c r="CP48" i="1"/>
  <c r="CO48" i="1"/>
  <c r="CN48" i="1"/>
  <c r="CM48" i="1"/>
  <c r="CD48" i="1"/>
  <c r="CC48" i="1"/>
  <c r="CB48" i="1"/>
  <c r="CA48" i="1"/>
  <c r="BZ48" i="1"/>
  <c r="BY48" i="1"/>
  <c r="BX48" i="1"/>
  <c r="BW48" i="1"/>
  <c r="BW49" i="1" s="1"/>
  <c r="CT39" i="1"/>
  <c r="CS39" i="1"/>
  <c r="CR39" i="1"/>
  <c r="CQ39" i="1"/>
  <c r="CP39" i="1"/>
  <c r="CO39" i="1"/>
  <c r="CN39" i="1"/>
  <c r="CM39" i="1"/>
  <c r="CD39" i="1"/>
  <c r="CC39" i="1"/>
  <c r="CB39" i="1"/>
  <c r="CA39" i="1"/>
  <c r="BZ39" i="1"/>
  <c r="BY39" i="1"/>
  <c r="BX39" i="1"/>
  <c r="BW39" i="1"/>
  <c r="CT30" i="1"/>
  <c r="CS30" i="1"/>
  <c r="CR30" i="1"/>
  <c r="CQ30" i="1"/>
  <c r="CP30" i="1"/>
  <c r="CO30" i="1"/>
  <c r="CN30" i="1"/>
  <c r="CM30" i="1"/>
  <c r="CM31" i="1" s="1"/>
  <c r="CD30" i="1"/>
  <c r="CC30" i="1"/>
  <c r="CB30" i="1"/>
  <c r="CA30" i="1"/>
  <c r="BZ30" i="1"/>
  <c r="BY30" i="1"/>
  <c r="BX30" i="1"/>
  <c r="BW30" i="1"/>
  <c r="CT21" i="1"/>
  <c r="CS21" i="1"/>
  <c r="CR21" i="1"/>
  <c r="CQ21" i="1"/>
  <c r="CP21" i="1"/>
  <c r="CO21" i="1"/>
  <c r="CN21" i="1"/>
  <c r="CM21" i="1"/>
  <c r="CD21" i="1"/>
  <c r="CC21" i="1"/>
  <c r="CB21" i="1"/>
  <c r="CA21" i="1"/>
  <c r="BZ21" i="1"/>
  <c r="BY21" i="1"/>
  <c r="BX21" i="1"/>
  <c r="BW21" i="1"/>
  <c r="BW22" i="1" s="1"/>
  <c r="CT12" i="1"/>
  <c r="CS12" i="1"/>
  <c r="CR12" i="1"/>
  <c r="CQ12" i="1"/>
  <c r="CP12" i="1"/>
  <c r="CO12" i="1"/>
  <c r="CN12" i="1"/>
  <c r="CM12" i="1"/>
  <c r="CD12" i="1"/>
  <c r="CC12" i="1"/>
  <c r="CB12" i="1"/>
  <c r="CA12" i="1"/>
  <c r="BZ12" i="1"/>
  <c r="BY12" i="1"/>
  <c r="BX12" i="1"/>
  <c r="BW12" i="1"/>
  <c r="CB3" i="1"/>
  <c r="BZ3" i="1"/>
  <c r="BW3" i="1"/>
  <c r="CC3" i="1"/>
  <c r="CD3" i="1"/>
  <c r="CA3" i="1"/>
  <c r="BX3" i="1"/>
  <c r="CT3" i="1"/>
  <c r="CS3" i="1"/>
  <c r="CR3" i="1"/>
  <c r="CQ3" i="1"/>
  <c r="CP3" i="1"/>
  <c r="CO3" i="1"/>
  <c r="CN3" i="1"/>
  <c r="CM3" i="1"/>
  <c r="CM4" i="1" s="1"/>
  <c r="BY3" i="1"/>
  <c r="AF246" i="1"/>
  <c r="AE246" i="1"/>
  <c r="AD246" i="1"/>
  <c r="AC246" i="1"/>
  <c r="AB246" i="1"/>
  <c r="AA246" i="1"/>
  <c r="Z246" i="1"/>
  <c r="Y246" i="1"/>
  <c r="P246" i="1"/>
  <c r="O246" i="1"/>
  <c r="N246" i="1"/>
  <c r="M246" i="1"/>
  <c r="L246" i="1"/>
  <c r="K246" i="1"/>
  <c r="J246" i="1"/>
  <c r="I246" i="1"/>
  <c r="AF237" i="1"/>
  <c r="AE237" i="1"/>
  <c r="AD237" i="1"/>
  <c r="AC237" i="1"/>
  <c r="AB237" i="1"/>
  <c r="AA237" i="1"/>
  <c r="Z237" i="1"/>
  <c r="Y237" i="1"/>
  <c r="P237" i="1"/>
  <c r="O237" i="1"/>
  <c r="N237" i="1"/>
  <c r="M237" i="1"/>
  <c r="L237" i="1"/>
  <c r="K237" i="1"/>
  <c r="J237" i="1"/>
  <c r="I237" i="1"/>
  <c r="AF228" i="1"/>
  <c r="AE228" i="1"/>
  <c r="AD228" i="1"/>
  <c r="AC228" i="1"/>
  <c r="AB228" i="1"/>
  <c r="AA228" i="1"/>
  <c r="Z228" i="1"/>
  <c r="Y228" i="1"/>
  <c r="P228" i="1"/>
  <c r="O228" i="1"/>
  <c r="N228" i="1"/>
  <c r="M228" i="1"/>
  <c r="L228" i="1"/>
  <c r="K228" i="1"/>
  <c r="J228" i="1"/>
  <c r="I228" i="1"/>
  <c r="AF219" i="1"/>
  <c r="AE219" i="1"/>
  <c r="AD219" i="1"/>
  <c r="AC219" i="1"/>
  <c r="AB219" i="1"/>
  <c r="AA219" i="1"/>
  <c r="Z219" i="1"/>
  <c r="Y219" i="1"/>
  <c r="P219" i="1"/>
  <c r="O219" i="1"/>
  <c r="N219" i="1"/>
  <c r="M219" i="1"/>
  <c r="L219" i="1"/>
  <c r="K219" i="1"/>
  <c r="J219" i="1"/>
  <c r="I219" i="1"/>
  <c r="AF210" i="1"/>
  <c r="AE210" i="1"/>
  <c r="AD210" i="1"/>
  <c r="AC210" i="1"/>
  <c r="AB210" i="1"/>
  <c r="AA210" i="1"/>
  <c r="Z210" i="1"/>
  <c r="Y210" i="1"/>
  <c r="P210" i="1"/>
  <c r="O210" i="1"/>
  <c r="N210" i="1"/>
  <c r="M210" i="1"/>
  <c r="L210" i="1"/>
  <c r="K210" i="1"/>
  <c r="J210" i="1"/>
  <c r="I210" i="1"/>
  <c r="AF201" i="1"/>
  <c r="AE201" i="1"/>
  <c r="AD201" i="1"/>
  <c r="AC201" i="1"/>
  <c r="AB201" i="1"/>
  <c r="AA201" i="1"/>
  <c r="Z201" i="1"/>
  <c r="Y201" i="1"/>
  <c r="P201" i="1"/>
  <c r="O201" i="1"/>
  <c r="N201" i="1"/>
  <c r="M201" i="1"/>
  <c r="L201" i="1"/>
  <c r="K201" i="1"/>
  <c r="J201" i="1"/>
  <c r="I201" i="1"/>
  <c r="AF192" i="1"/>
  <c r="AE192" i="1"/>
  <c r="AD192" i="1"/>
  <c r="AC192" i="1"/>
  <c r="AB192" i="1"/>
  <c r="AA192" i="1"/>
  <c r="Z192" i="1"/>
  <c r="Y192" i="1"/>
  <c r="P192" i="1"/>
  <c r="O192" i="1"/>
  <c r="N192" i="1"/>
  <c r="M192" i="1"/>
  <c r="L192" i="1"/>
  <c r="K192" i="1"/>
  <c r="J192" i="1"/>
  <c r="I192" i="1"/>
  <c r="AF183" i="1"/>
  <c r="AE183" i="1"/>
  <c r="AD183" i="1"/>
  <c r="AC183" i="1"/>
  <c r="AB183" i="1"/>
  <c r="AA183" i="1"/>
  <c r="Z183" i="1"/>
  <c r="Y183" i="1"/>
  <c r="P183" i="1"/>
  <c r="O183" i="1"/>
  <c r="N183" i="1"/>
  <c r="M183" i="1"/>
  <c r="L183" i="1"/>
  <c r="K183" i="1"/>
  <c r="J183" i="1"/>
  <c r="I183" i="1"/>
  <c r="BE12" i="1"/>
  <c r="BF12" i="1"/>
  <c r="BG12" i="1"/>
  <c r="BH12" i="1"/>
  <c r="BI12" i="1"/>
  <c r="BJ12" i="1"/>
  <c r="BK12" i="1"/>
  <c r="BL12" i="1"/>
  <c r="BL138" i="1"/>
  <c r="BK138" i="1"/>
  <c r="BJ138" i="1"/>
  <c r="BI138" i="1"/>
  <c r="BH138" i="1"/>
  <c r="BG138" i="1"/>
  <c r="BF138" i="1"/>
  <c r="BE138" i="1"/>
  <c r="AV138" i="1"/>
  <c r="AU138" i="1"/>
  <c r="AT138" i="1"/>
  <c r="AS138" i="1"/>
  <c r="AR138" i="1"/>
  <c r="AQ138" i="1"/>
  <c r="AP138" i="1"/>
  <c r="AO138" i="1"/>
  <c r="AF138" i="1"/>
  <c r="AE138" i="1"/>
  <c r="AD138" i="1"/>
  <c r="AC138" i="1"/>
  <c r="AB138" i="1"/>
  <c r="AA138" i="1"/>
  <c r="Z138" i="1"/>
  <c r="Y138" i="1"/>
  <c r="P138" i="1"/>
  <c r="O138" i="1"/>
  <c r="N138" i="1"/>
  <c r="M138" i="1"/>
  <c r="L138" i="1"/>
  <c r="K138" i="1"/>
  <c r="J138" i="1"/>
  <c r="I138" i="1"/>
  <c r="BL129" i="1"/>
  <c r="BK129" i="1"/>
  <c r="BJ129" i="1"/>
  <c r="BI129" i="1"/>
  <c r="BH129" i="1"/>
  <c r="BG129" i="1"/>
  <c r="BF129" i="1"/>
  <c r="BE129" i="1"/>
  <c r="AV129" i="1"/>
  <c r="AU129" i="1"/>
  <c r="AT129" i="1"/>
  <c r="AS129" i="1"/>
  <c r="AR129" i="1"/>
  <c r="AQ129" i="1"/>
  <c r="AP129" i="1"/>
  <c r="AO129" i="1"/>
  <c r="AF129" i="1"/>
  <c r="AE129" i="1"/>
  <c r="AD129" i="1"/>
  <c r="AC129" i="1"/>
  <c r="AB129" i="1"/>
  <c r="AA129" i="1"/>
  <c r="Z129" i="1"/>
  <c r="Y129" i="1"/>
  <c r="P129" i="1"/>
  <c r="O129" i="1"/>
  <c r="N129" i="1"/>
  <c r="M129" i="1"/>
  <c r="L129" i="1"/>
  <c r="K129" i="1"/>
  <c r="J129" i="1"/>
  <c r="I129" i="1"/>
  <c r="BL120" i="1"/>
  <c r="BK120" i="1"/>
  <c r="BJ120" i="1"/>
  <c r="BI120" i="1"/>
  <c r="BH120" i="1"/>
  <c r="BG120" i="1"/>
  <c r="BF120" i="1"/>
  <c r="BE120" i="1"/>
  <c r="AV120" i="1"/>
  <c r="AU120" i="1"/>
  <c r="AT120" i="1"/>
  <c r="AS120" i="1"/>
  <c r="AR120" i="1"/>
  <c r="AQ120" i="1"/>
  <c r="AP120" i="1"/>
  <c r="AO120" i="1"/>
  <c r="AF120" i="1"/>
  <c r="AE120" i="1"/>
  <c r="AD120" i="1"/>
  <c r="AC120" i="1"/>
  <c r="AB120" i="1"/>
  <c r="AA120" i="1"/>
  <c r="Z120" i="1"/>
  <c r="Y120" i="1"/>
  <c r="P120" i="1"/>
  <c r="O120" i="1"/>
  <c r="N120" i="1"/>
  <c r="M120" i="1"/>
  <c r="L120" i="1"/>
  <c r="K120" i="1"/>
  <c r="J120" i="1"/>
  <c r="I120" i="1"/>
  <c r="BL111" i="1"/>
  <c r="BK111" i="1"/>
  <c r="BJ111" i="1"/>
  <c r="BI111" i="1"/>
  <c r="BH111" i="1"/>
  <c r="BG111" i="1"/>
  <c r="BF111" i="1"/>
  <c r="BE111" i="1"/>
  <c r="AV111" i="1"/>
  <c r="AU111" i="1"/>
  <c r="AT111" i="1"/>
  <c r="AS111" i="1"/>
  <c r="AR111" i="1"/>
  <c r="AQ111" i="1"/>
  <c r="AP111" i="1"/>
  <c r="AO111" i="1"/>
  <c r="CM112" i="1" l="1"/>
  <c r="BW112" i="1"/>
  <c r="BW103" i="1"/>
  <c r="CM94" i="1"/>
  <c r="BW94" i="1"/>
  <c r="BW85" i="1"/>
  <c r="CM76" i="1"/>
  <c r="BW76" i="1"/>
  <c r="CM58" i="1"/>
  <c r="CM49" i="1"/>
  <c r="AO112" i="1"/>
  <c r="I121" i="1"/>
  <c r="Y121" i="1"/>
  <c r="AO121" i="1"/>
  <c r="BE121" i="1"/>
  <c r="I130" i="1"/>
  <c r="Y130" i="1"/>
  <c r="AO130" i="1"/>
  <c r="BE130" i="1"/>
  <c r="Y139" i="1"/>
  <c r="AO139" i="1"/>
  <c r="BE139" i="1"/>
  <c r="I247" i="1"/>
  <c r="CM40" i="1"/>
  <c r="BW40" i="1"/>
  <c r="BW31" i="1"/>
  <c r="BO120" i="1" s="1"/>
  <c r="CM22" i="1"/>
  <c r="BW13" i="1"/>
  <c r="CM13" i="1"/>
  <c r="BW4" i="1"/>
  <c r="Y247" i="1"/>
  <c r="Y238" i="1"/>
  <c r="I238" i="1"/>
  <c r="Y229" i="1"/>
  <c r="I229" i="1"/>
  <c r="BE13" i="1"/>
  <c r="BE112" i="1"/>
  <c r="Y184" i="1"/>
  <c r="Y220" i="1"/>
  <c r="I220" i="1"/>
  <c r="Y211" i="1"/>
  <c r="I211" i="1"/>
  <c r="Y202" i="1"/>
  <c r="I202" i="1"/>
  <c r="Y193" i="1"/>
  <c r="I193" i="1"/>
  <c r="I184" i="1"/>
  <c r="I139" i="1"/>
  <c r="AA57" i="1"/>
  <c r="AF75" i="1"/>
  <c r="AE75" i="1"/>
  <c r="AD75" i="1"/>
  <c r="AC75" i="1"/>
  <c r="AB75" i="1"/>
  <c r="AA75" i="1"/>
  <c r="Z75" i="1"/>
  <c r="Y75" i="1"/>
  <c r="P75" i="1"/>
  <c r="O75" i="1"/>
  <c r="N75" i="1"/>
  <c r="M75" i="1"/>
  <c r="L75" i="1"/>
  <c r="K75" i="1"/>
  <c r="J75" i="1"/>
  <c r="I75" i="1"/>
  <c r="BL66" i="1"/>
  <c r="BK66" i="1"/>
  <c r="BJ66" i="1"/>
  <c r="BI66" i="1"/>
  <c r="BH66" i="1"/>
  <c r="BG66" i="1"/>
  <c r="BF66" i="1"/>
  <c r="BE66" i="1"/>
  <c r="AV66" i="1"/>
  <c r="AU66" i="1"/>
  <c r="AT66" i="1"/>
  <c r="AS66" i="1"/>
  <c r="AR66" i="1"/>
  <c r="AQ66" i="1"/>
  <c r="AP66" i="1"/>
  <c r="AO66" i="1"/>
  <c r="AF66" i="1"/>
  <c r="AE66" i="1"/>
  <c r="AD66" i="1"/>
  <c r="AC66" i="1"/>
  <c r="AB66" i="1"/>
  <c r="AA66" i="1"/>
  <c r="Z66" i="1"/>
  <c r="Y66" i="1"/>
  <c r="P66" i="1"/>
  <c r="O66" i="1"/>
  <c r="N66" i="1"/>
  <c r="M66" i="1"/>
  <c r="L66" i="1"/>
  <c r="K66" i="1"/>
  <c r="J66" i="1"/>
  <c r="I66" i="1"/>
  <c r="BL57" i="1"/>
  <c r="BK57" i="1"/>
  <c r="BJ57" i="1"/>
  <c r="BI57" i="1"/>
  <c r="BH57" i="1"/>
  <c r="BG57" i="1"/>
  <c r="BF57" i="1"/>
  <c r="BE57" i="1"/>
  <c r="AV57" i="1"/>
  <c r="AU57" i="1"/>
  <c r="AT57" i="1"/>
  <c r="AS57" i="1"/>
  <c r="AR57" i="1"/>
  <c r="AQ57" i="1"/>
  <c r="AP57" i="1"/>
  <c r="AO57" i="1"/>
  <c r="AF57" i="1"/>
  <c r="AE57" i="1"/>
  <c r="AD57" i="1"/>
  <c r="AC57" i="1"/>
  <c r="AB57" i="1"/>
  <c r="Z57" i="1"/>
  <c r="Y57" i="1"/>
  <c r="P57" i="1"/>
  <c r="O57" i="1"/>
  <c r="N57" i="1"/>
  <c r="M57" i="1"/>
  <c r="L57" i="1"/>
  <c r="K57" i="1"/>
  <c r="J57" i="1"/>
  <c r="I57" i="1"/>
  <c r="BL48" i="1"/>
  <c r="BK48" i="1"/>
  <c r="BJ48" i="1"/>
  <c r="BI48" i="1"/>
  <c r="BH48" i="1"/>
  <c r="BG48" i="1"/>
  <c r="BF48" i="1"/>
  <c r="BE48" i="1"/>
  <c r="AV48" i="1"/>
  <c r="AU48" i="1"/>
  <c r="AT48" i="1"/>
  <c r="AS48" i="1"/>
  <c r="AR48" i="1"/>
  <c r="AQ48" i="1"/>
  <c r="AP48" i="1"/>
  <c r="AO48" i="1"/>
  <c r="BL39" i="1"/>
  <c r="BK39" i="1"/>
  <c r="BJ39" i="1"/>
  <c r="BI39" i="1"/>
  <c r="BH39" i="1"/>
  <c r="BG39" i="1"/>
  <c r="BF39" i="1"/>
  <c r="BE39" i="1"/>
  <c r="AV39" i="1"/>
  <c r="AU39" i="1"/>
  <c r="AT39" i="1"/>
  <c r="AS39" i="1"/>
  <c r="AR39" i="1"/>
  <c r="AQ39" i="1"/>
  <c r="AP39" i="1"/>
  <c r="AO39" i="1"/>
  <c r="AF39" i="1"/>
  <c r="AE39" i="1"/>
  <c r="AD39" i="1"/>
  <c r="AC39" i="1"/>
  <c r="AB39" i="1"/>
  <c r="AA39" i="1"/>
  <c r="Z39" i="1"/>
  <c r="Y39" i="1"/>
  <c r="P39" i="1"/>
  <c r="O39" i="1"/>
  <c r="N39" i="1"/>
  <c r="M39" i="1"/>
  <c r="L39" i="1"/>
  <c r="K39" i="1"/>
  <c r="J39" i="1"/>
  <c r="I39" i="1"/>
  <c r="BL30" i="1"/>
  <c r="BK30" i="1"/>
  <c r="BJ30" i="1"/>
  <c r="BI30" i="1"/>
  <c r="BH30" i="1"/>
  <c r="BG30" i="1"/>
  <c r="BF30" i="1"/>
  <c r="BE30" i="1"/>
  <c r="AV30" i="1"/>
  <c r="AU30" i="1"/>
  <c r="AT30" i="1"/>
  <c r="AS30" i="1"/>
  <c r="AR30" i="1"/>
  <c r="AQ30" i="1"/>
  <c r="AP30" i="1"/>
  <c r="AO30" i="1"/>
  <c r="AF30" i="1"/>
  <c r="AE30" i="1"/>
  <c r="AD30" i="1"/>
  <c r="AC30" i="1"/>
  <c r="AB30" i="1"/>
  <c r="AA30" i="1"/>
  <c r="Z30" i="1"/>
  <c r="Y30" i="1"/>
  <c r="P30" i="1"/>
  <c r="O30" i="1"/>
  <c r="N30" i="1"/>
  <c r="M30" i="1"/>
  <c r="L30" i="1"/>
  <c r="K30" i="1"/>
  <c r="J30" i="1"/>
  <c r="I30" i="1"/>
  <c r="BL21" i="1"/>
  <c r="BK21" i="1"/>
  <c r="BJ21" i="1"/>
  <c r="BI21" i="1"/>
  <c r="BH21" i="1"/>
  <c r="BG21" i="1"/>
  <c r="BF21" i="1"/>
  <c r="BE21" i="1"/>
  <c r="AV21" i="1"/>
  <c r="AU21" i="1"/>
  <c r="AT21" i="1"/>
  <c r="AS21" i="1"/>
  <c r="AR21" i="1"/>
  <c r="AQ21" i="1"/>
  <c r="AP21" i="1"/>
  <c r="AO21" i="1"/>
  <c r="AF21" i="1"/>
  <c r="AE21" i="1"/>
  <c r="AD21" i="1"/>
  <c r="AC21" i="1"/>
  <c r="AB21" i="1"/>
  <c r="AA21" i="1"/>
  <c r="Z21" i="1"/>
  <c r="Y21" i="1"/>
  <c r="P21" i="1"/>
  <c r="O21" i="1"/>
  <c r="N21" i="1"/>
  <c r="M21" i="1"/>
  <c r="L21" i="1"/>
  <c r="K21" i="1"/>
  <c r="J21" i="1"/>
  <c r="I21" i="1"/>
  <c r="AV12" i="1"/>
  <c r="AU12" i="1"/>
  <c r="AT12" i="1"/>
  <c r="AS12" i="1"/>
  <c r="AR12" i="1"/>
  <c r="AQ12" i="1"/>
  <c r="AP12" i="1"/>
  <c r="AO12" i="1"/>
  <c r="AF12" i="1"/>
  <c r="AE12" i="1"/>
  <c r="AD12" i="1"/>
  <c r="AC12" i="1"/>
  <c r="AB12" i="1"/>
  <c r="AA12" i="1"/>
  <c r="Z12" i="1"/>
  <c r="Y12" i="1"/>
  <c r="P12" i="1"/>
  <c r="O12" i="1"/>
  <c r="N12" i="1"/>
  <c r="M12" i="1"/>
  <c r="L12" i="1"/>
  <c r="K12" i="1"/>
  <c r="J12" i="1"/>
  <c r="I12" i="1"/>
  <c r="BL3" i="1"/>
  <c r="BK3" i="1"/>
  <c r="BJ3" i="1"/>
  <c r="BI3" i="1"/>
  <c r="BH3" i="1"/>
  <c r="BG3" i="1"/>
  <c r="BF3" i="1"/>
  <c r="BE3" i="1"/>
  <c r="AV3" i="1"/>
  <c r="AU3" i="1"/>
  <c r="AT3" i="1"/>
  <c r="AS3" i="1"/>
  <c r="AR3" i="1"/>
  <c r="AQ3" i="1"/>
  <c r="AP3" i="1"/>
  <c r="AO3" i="1"/>
  <c r="AF111" i="1"/>
  <c r="AE111" i="1"/>
  <c r="AD111" i="1"/>
  <c r="AC111" i="1"/>
  <c r="AB111" i="1"/>
  <c r="AA111" i="1"/>
  <c r="Z111" i="1"/>
  <c r="Y111" i="1"/>
  <c r="P111" i="1"/>
  <c r="O111" i="1"/>
  <c r="N111" i="1"/>
  <c r="M111" i="1"/>
  <c r="L111" i="1"/>
  <c r="K111" i="1"/>
  <c r="J111" i="1"/>
  <c r="I111" i="1"/>
  <c r="AF48" i="1"/>
  <c r="AE48" i="1"/>
  <c r="AD48" i="1"/>
  <c r="AC48" i="1"/>
  <c r="AB48" i="1"/>
  <c r="AA48" i="1"/>
  <c r="Z48" i="1"/>
  <c r="Y48" i="1"/>
  <c r="P48" i="1"/>
  <c r="O48" i="1"/>
  <c r="N48" i="1"/>
  <c r="M48" i="1"/>
  <c r="L48" i="1"/>
  <c r="K48" i="1"/>
  <c r="J48" i="1"/>
  <c r="I48" i="1"/>
  <c r="AF3" i="1"/>
  <c r="AE3" i="1"/>
  <c r="AD3" i="1"/>
  <c r="AC3" i="1"/>
  <c r="AB3" i="1"/>
  <c r="AA3" i="1"/>
  <c r="Z3" i="1"/>
  <c r="Y3" i="1"/>
  <c r="P3" i="1"/>
  <c r="J3" i="1"/>
  <c r="K3" i="1"/>
  <c r="L3" i="1"/>
  <c r="M3" i="1"/>
  <c r="N3" i="1"/>
  <c r="O3" i="1"/>
  <c r="I3" i="1"/>
  <c r="AG183" i="1" l="1"/>
  <c r="AG228" i="1"/>
  <c r="I4" i="1"/>
  <c r="Y4" i="1"/>
  <c r="AO4" i="1"/>
  <c r="I13" i="1"/>
  <c r="Y13" i="1"/>
  <c r="I112" i="1"/>
  <c r="Y112" i="1"/>
  <c r="BE4" i="1"/>
  <c r="AO13" i="1"/>
  <c r="I22" i="1"/>
  <c r="Y22" i="1"/>
  <c r="AO22" i="1"/>
  <c r="BE22" i="1"/>
  <c r="I31" i="1"/>
  <c r="Y31" i="1"/>
  <c r="BE31" i="1"/>
  <c r="I40" i="1"/>
  <c r="Y40" i="1"/>
  <c r="BE40" i="1"/>
  <c r="AO58" i="1"/>
  <c r="I76" i="1"/>
  <c r="Y76" i="1"/>
  <c r="AO31" i="1"/>
  <c r="Y67" i="1"/>
  <c r="I67" i="1"/>
  <c r="AO67" i="1"/>
  <c r="BE67" i="1"/>
  <c r="Y58" i="1"/>
  <c r="I58" i="1"/>
  <c r="BE49" i="1"/>
  <c r="AO49" i="1"/>
  <c r="AO40" i="1"/>
  <c r="BE58" i="1"/>
  <c r="Y49" i="1"/>
  <c r="I49" i="1"/>
  <c r="AG147" i="1" l="1"/>
  <c r="AG75" i="1"/>
</calcChain>
</file>

<file path=xl/sharedStrings.xml><?xml version="1.0" encoding="utf-8"?>
<sst xmlns="http://schemas.openxmlformats.org/spreadsheetml/2006/main" count="248" uniqueCount="87">
  <si>
    <t>UTF-8</t>
  </si>
  <si>
    <t>Р</t>
  </si>
  <si>
    <t>С</t>
  </si>
  <si>
    <t>В</t>
  </si>
  <si>
    <t>Г</t>
  </si>
  <si>
    <t>Д</t>
  </si>
  <si>
    <t>Е</t>
  </si>
  <si>
    <t>Б</t>
  </si>
  <si>
    <t>А</t>
  </si>
  <si>
    <t>Ж</t>
  </si>
  <si>
    <t>З</t>
  </si>
  <si>
    <t>И</t>
  </si>
  <si>
    <t>К</t>
  </si>
  <si>
    <t>Л</t>
  </si>
  <si>
    <t>М</t>
  </si>
  <si>
    <t>Н</t>
  </si>
  <si>
    <t>О</t>
  </si>
  <si>
    <t>П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</si>
  <si>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</si>
  <si>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</si>
  <si>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</si>
  <si>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</si>
  <si>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</si>
  <si>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</si>
  <si>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</si>
  <si>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</si>
  <si>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</si>
  <si>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</si>
  <si>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</si>
  <si>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</si>
  <si>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</si>
  <si>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</si>
  <si>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Й</t>
  </si>
  <si>
    <t>!</t>
  </si>
  <si>
    <t>"</t>
  </si>
  <si>
    <t>#</t>
  </si>
  <si>
    <t>$</t>
  </si>
  <si>
    <t>%</t>
  </si>
  <si>
    <t>&amp;</t>
  </si>
  <si>
    <t>`</t>
  </si>
  <si>
    <t xml:space="preserve"> /</t>
  </si>
  <si>
    <t>.</t>
  </si>
  <si>
    <t>,</t>
  </si>
  <si>
    <t>+</t>
  </si>
  <si>
    <t>-</t>
  </si>
  <si>
    <t>*</t>
  </si>
  <si>
    <t>)</t>
  </si>
  <si>
    <t>(</t>
  </si>
  <si>
    <t>Прописная</t>
  </si>
  <si>
    <t>&gt;</t>
  </si>
  <si>
    <t>;</t>
  </si>
  <si>
    <t>:</t>
  </si>
  <si>
    <t>=</t>
  </si>
  <si>
    <t>?</t>
  </si>
  <si>
    <t>D</t>
  </si>
  <si>
    <t>C</t>
  </si>
  <si>
    <t>A</t>
  </si>
  <si>
    <t>B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</si>
  <si>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</si>
  <si>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</si>
  <si>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</si>
  <si>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</si>
  <si>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</si>
  <si>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</si>
  <si>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</si>
  <si>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</si>
  <si>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</si>
  <si>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</si>
  <si>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</si>
  <si>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</si>
  <si>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</si>
  <si>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</si>
  <si>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</si>
  <si>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</si>
  <si>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</si>
  <si>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</si>
  <si>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</si>
  <si>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</si>
  <si>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</si>
  <si>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</si>
  <si>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@</t>
  </si>
  <si>
    <t>Размер шрифта</t>
  </si>
  <si>
    <t>[</t>
  </si>
  <si>
    <t>]</t>
  </si>
  <si>
    <t>\</t>
  </si>
  <si>
    <t>^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</si>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</sst>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/>
    <xf numFmtId="0" fontId="0" fillId="2" borderId="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Обычный" xfId="0" builtinId="0"/>
  </cellStyles>
  <dxfs count="207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62"/>
  <sheetViews>
    <sheetView tabSelected="1" topLeftCell="AT174" zoomScale="85" zoomScaleNormal="85" workbookViewId="0">
      <selection activeCell="BO183" sqref="BO183:CP189"/>
    </sheetView>
  </sheetViews>
  <sheetFormatPr defaultColWidth="2.85546875" defaultRowHeight="15" x14ac:dyDescent="0.25"/>
  <cols>
    <col min="1" max="8" width="2.85546875" style="5"/>
    <col min="9" max="16" width="2.85546875" style="4"/>
    <col min="17" max="24" width="2.85546875" style="5"/>
    <col min="25" max="31" width="2.85546875" style="4"/>
    <col min="32" max="32" width="2.85546875" style="3"/>
    <col min="65" max="66" width="2.85546875" style="20"/>
  </cols>
  <sheetData>
    <row r="1" spans="1:98" x14ac:dyDescent="0.25">
      <c r="A1" s="30" t="s">
        <v>81</v>
      </c>
      <c r="B1" s="31"/>
      <c r="C1" s="31"/>
      <c r="D1" s="31"/>
      <c r="E1" s="31"/>
      <c r="F1" s="31"/>
      <c r="G1" s="31"/>
      <c r="H1" s="32"/>
      <c r="I1" s="4">
        <v>8</v>
      </c>
      <c r="AF1" s="4"/>
    </row>
    <row r="2" spans="1:98" s="8" customFormat="1" x14ac:dyDescent="0.25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38" t="s">
        <v>0</v>
      </c>
      <c r="J2" s="38"/>
      <c r="K2" s="38"/>
      <c r="L2" s="38"/>
      <c r="M2" s="39"/>
      <c r="N2" s="39"/>
      <c r="O2" s="39"/>
      <c r="P2" s="39"/>
      <c r="Q2" s="9">
        <v>1</v>
      </c>
      <c r="R2" s="9">
        <v>2</v>
      </c>
      <c r="S2" s="9">
        <v>3</v>
      </c>
      <c r="T2" s="9">
        <v>4</v>
      </c>
      <c r="U2" s="9">
        <v>5</v>
      </c>
      <c r="V2" s="9">
        <v>6</v>
      </c>
      <c r="W2" s="9">
        <v>7</v>
      </c>
      <c r="X2" s="9">
        <v>8</v>
      </c>
      <c r="Y2" s="38" t="s">
        <v>0</v>
      </c>
      <c r="Z2" s="38"/>
      <c r="AA2" s="38"/>
      <c r="AB2" s="38"/>
      <c r="AC2" s="39"/>
      <c r="AD2" s="39"/>
      <c r="AE2" s="39"/>
      <c r="AF2" s="39"/>
      <c r="AG2" s="10">
        <v>1</v>
      </c>
      <c r="AH2" s="10">
        <v>2</v>
      </c>
      <c r="AI2" s="10">
        <v>3</v>
      </c>
      <c r="AJ2" s="10">
        <v>4</v>
      </c>
      <c r="AK2" s="10">
        <v>5</v>
      </c>
      <c r="AL2" s="10">
        <v>6</v>
      </c>
      <c r="AM2" s="10">
        <v>7</v>
      </c>
      <c r="AN2" s="10">
        <v>8</v>
      </c>
      <c r="AO2" s="38" t="s">
        <v>0</v>
      </c>
      <c r="AP2" s="38"/>
      <c r="AQ2" s="38"/>
      <c r="AR2" s="38"/>
      <c r="AS2" s="39">
        <v>208</v>
      </c>
      <c r="AT2" s="39"/>
      <c r="AU2" s="39">
        <v>144</v>
      </c>
      <c r="AV2" s="39"/>
      <c r="AW2" s="10">
        <v>1</v>
      </c>
      <c r="AX2" s="10">
        <v>2</v>
      </c>
      <c r="AY2" s="10">
        <v>3</v>
      </c>
      <c r="AZ2" s="10">
        <v>4</v>
      </c>
      <c r="BA2" s="10">
        <v>5</v>
      </c>
      <c r="BB2" s="10">
        <v>6</v>
      </c>
      <c r="BC2" s="10">
        <v>7</v>
      </c>
      <c r="BD2" s="10">
        <v>8</v>
      </c>
      <c r="BE2" s="38" t="s">
        <v>0</v>
      </c>
      <c r="BF2" s="38"/>
      <c r="BG2" s="38"/>
      <c r="BH2" s="38"/>
      <c r="BI2" s="39">
        <v>208</v>
      </c>
      <c r="BJ2" s="39"/>
      <c r="BK2" s="39">
        <v>145</v>
      </c>
      <c r="BL2" s="39"/>
      <c r="BM2" s="20"/>
      <c r="BN2" s="20"/>
      <c r="BO2" s="24">
        <v>1</v>
      </c>
      <c r="BP2" s="10">
        <v>2</v>
      </c>
      <c r="BQ2" s="10">
        <v>3</v>
      </c>
      <c r="BR2" s="10">
        <v>4</v>
      </c>
      <c r="BS2" s="10">
        <v>5</v>
      </c>
      <c r="BT2" s="10">
        <v>6</v>
      </c>
      <c r="BU2" s="10">
        <v>7</v>
      </c>
      <c r="BV2" s="10">
        <v>8</v>
      </c>
      <c r="BW2" s="38" t="s">
        <v>0</v>
      </c>
      <c r="BX2" s="38"/>
      <c r="BY2" s="38"/>
      <c r="BZ2" s="38"/>
      <c r="CA2" s="39">
        <v>0</v>
      </c>
      <c r="CB2" s="39"/>
      <c r="CC2" s="39">
        <v>65</v>
      </c>
      <c r="CD2" s="39"/>
      <c r="CE2" s="10">
        <v>1</v>
      </c>
      <c r="CF2" s="10">
        <v>2</v>
      </c>
      <c r="CG2" s="10">
        <v>3</v>
      </c>
      <c r="CH2" s="10">
        <v>4</v>
      </c>
      <c r="CI2" s="10">
        <v>5</v>
      </c>
      <c r="CJ2" s="10">
        <v>6</v>
      </c>
      <c r="CK2" s="10">
        <v>7</v>
      </c>
      <c r="CL2" s="10">
        <v>8</v>
      </c>
      <c r="CM2" s="38" t="s">
        <v>0</v>
      </c>
      <c r="CN2" s="38"/>
      <c r="CO2" s="38"/>
      <c r="CP2" s="38"/>
      <c r="CQ2" s="39">
        <v>0</v>
      </c>
      <c r="CR2" s="39"/>
      <c r="CS2" s="39">
        <v>66</v>
      </c>
      <c r="CT2" s="39"/>
    </row>
    <row r="3" spans="1:98" x14ac:dyDescent="0.25">
      <c r="A3" s="11">
        <v>0</v>
      </c>
      <c r="B3" s="11">
        <v>1</v>
      </c>
      <c r="C3" s="11">
        <v>1</v>
      </c>
      <c r="D3" s="11">
        <v>0</v>
      </c>
      <c r="E3" s="11">
        <v>0</v>
      </c>
      <c r="F3" s="11">
        <v>1</v>
      </c>
      <c r="G3" s="11">
        <v>1</v>
      </c>
      <c r="H3" s="11">
        <v>0</v>
      </c>
      <c r="I3" s="12" t="str">
        <f>BIN2HEX(A10&amp;A9&amp;A8&amp;A7&amp;A6&amp;A5&amp;A4&amp;A3)</f>
        <v>1E</v>
      </c>
      <c r="J3" s="12" t="str">
        <f t="shared" ref="J3:O3" si="0">BIN2HEX(B10&amp;B9&amp;B8&amp;B7&amp;B6&amp;B5&amp;B4&amp;B3)</f>
        <v>3F</v>
      </c>
      <c r="K3" s="12" t="str">
        <f t="shared" si="0"/>
        <v>7F</v>
      </c>
      <c r="L3" s="12" t="str">
        <f t="shared" si="0"/>
        <v>FE</v>
      </c>
      <c r="M3" s="12" t="str">
        <f t="shared" si="0"/>
        <v>FE</v>
      </c>
      <c r="N3" s="12" t="str">
        <f t="shared" si="0"/>
        <v>7F</v>
      </c>
      <c r="O3" s="12" t="str">
        <f t="shared" si="0"/>
        <v>3F</v>
      </c>
      <c r="P3" s="12" t="str">
        <f>BIN2HEX(H10&amp;H9&amp;H8&amp;H7&amp;H6&amp;H5&amp;H4&amp;H3)</f>
        <v>1E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1</v>
      </c>
      <c r="W3" s="11">
        <v>1</v>
      </c>
      <c r="X3" s="11">
        <v>0</v>
      </c>
      <c r="Y3" s="12" t="str">
        <f>BIN2HEX(Q10&amp;Q9&amp;Q8&amp;Q7&amp;Q6&amp;Q5&amp;Q4&amp;Q3)</f>
        <v>0</v>
      </c>
      <c r="Z3" s="12" t="str">
        <f t="shared" ref="Z3" si="1">BIN2HEX(R10&amp;R9&amp;R8&amp;R7&amp;R6&amp;R5&amp;R4&amp;R3)</f>
        <v>12</v>
      </c>
      <c r="AA3" s="12" t="str">
        <f t="shared" ref="AA3" si="2">BIN2HEX(S10&amp;S9&amp;S8&amp;S7&amp;S6&amp;S5&amp;S4&amp;S3)</f>
        <v>12</v>
      </c>
      <c r="AB3" s="12" t="str">
        <f t="shared" ref="AB3" si="3">BIN2HEX(T10&amp;T9&amp;T8&amp;T7&amp;T6&amp;T5&amp;T4&amp;T3)</f>
        <v>0</v>
      </c>
      <c r="AC3" s="12" t="str">
        <f t="shared" ref="AC3" si="4">BIN2HEX(U10&amp;U9&amp;U8&amp;U7&amp;U6&amp;U5&amp;U4&amp;U3)</f>
        <v>22</v>
      </c>
      <c r="AD3" s="12" t="str">
        <f t="shared" ref="AD3" si="5">BIN2HEX(V10&amp;V9&amp;V8&amp;V7&amp;V6&amp;V5&amp;V4&amp;V3)</f>
        <v>49</v>
      </c>
      <c r="AE3" s="12" t="str">
        <f t="shared" ref="AE3" si="6">BIN2HEX(W10&amp;W9&amp;W8&amp;W7&amp;W6&amp;W5&amp;W4&amp;W3)</f>
        <v>49</v>
      </c>
      <c r="AF3" s="13" t="str">
        <f>BIN2HEX(X10&amp;X9&amp;X8&amp;X7&amp;X6&amp;X5&amp;X4&amp;X3)</f>
        <v>36</v>
      </c>
      <c r="AG3" s="11">
        <v>0</v>
      </c>
      <c r="AH3" s="11">
        <v>0</v>
      </c>
      <c r="AI3" s="11">
        <v>0</v>
      </c>
      <c r="AJ3" s="11">
        <v>1</v>
      </c>
      <c r="AK3" s="11">
        <v>1</v>
      </c>
      <c r="AL3" s="11">
        <v>0</v>
      </c>
      <c r="AM3" s="11">
        <v>0</v>
      </c>
      <c r="AN3" s="11">
        <v>0</v>
      </c>
      <c r="AO3" s="12" t="str">
        <f>BIN2HEX(AG10&amp;AG9&amp;AG8&amp;AG7&amp;AG6&amp;AG5&amp;AG4&amp;AG3)</f>
        <v>0</v>
      </c>
      <c r="AP3" s="12" t="str">
        <f t="shared" ref="AP3" si="7">BIN2HEX(AH10&amp;AH9&amp;AH8&amp;AH7&amp;AH6&amp;AH5&amp;AH4&amp;AH3)</f>
        <v>0</v>
      </c>
      <c r="AQ3" s="12" t="str">
        <f t="shared" ref="AQ3" si="8">BIN2HEX(AI10&amp;AI9&amp;AI8&amp;AI7&amp;AI6&amp;AI5&amp;AI4&amp;AI3)</f>
        <v>7E</v>
      </c>
      <c r="AR3" s="12" t="str">
        <f t="shared" ref="AR3" si="9">BIN2HEX(AJ10&amp;AJ9&amp;AJ8&amp;AJ7&amp;AJ6&amp;AJ5&amp;AJ4&amp;AJ3)</f>
        <v>11</v>
      </c>
      <c r="AS3" s="12" t="str">
        <f t="shared" ref="AS3" si="10">BIN2HEX(AK10&amp;AK9&amp;AK8&amp;AK7&amp;AK6&amp;AK5&amp;AK4&amp;AK3)</f>
        <v>11</v>
      </c>
      <c r="AT3" s="12" t="str">
        <f t="shared" ref="AT3" si="11">BIN2HEX(AL10&amp;AL9&amp;AL8&amp;AL7&amp;AL6&amp;AL5&amp;AL4&amp;AL3)</f>
        <v>7E</v>
      </c>
      <c r="AU3" s="12" t="str">
        <f t="shared" ref="AU3" si="12">BIN2HEX(AM10&amp;AM9&amp;AM8&amp;AM7&amp;AM6&amp;AM5&amp;AM4&amp;AM3)</f>
        <v>0</v>
      </c>
      <c r="AV3" s="12" t="str">
        <f>BIN2HEX(AN10&amp;AN9&amp;AN8&amp;AN7&amp;AN6&amp;AN5&amp;AN4&amp;AN3)</f>
        <v>0</v>
      </c>
      <c r="AW3" s="11">
        <v>0</v>
      </c>
      <c r="AX3" s="11">
        <v>0</v>
      </c>
      <c r="AY3" s="11">
        <v>0</v>
      </c>
      <c r="AZ3" s="11">
        <v>1</v>
      </c>
      <c r="BA3" s="11">
        <v>1</v>
      </c>
      <c r="BB3" s="11">
        <v>1</v>
      </c>
      <c r="BC3" s="11">
        <v>0</v>
      </c>
      <c r="BD3" s="11">
        <v>0</v>
      </c>
      <c r="BE3" s="12" t="str">
        <f>BIN2HEX(AW10&amp;AW9&amp;AW8&amp;AW7&amp;AW6&amp;AW5&amp;AW4&amp;AW3)</f>
        <v>0</v>
      </c>
      <c r="BF3" s="12" t="str">
        <f t="shared" ref="BF3" si="13">BIN2HEX(AX10&amp;AX9&amp;AX8&amp;AX7&amp;AX6&amp;AX5&amp;AX4&amp;AX3)</f>
        <v>0</v>
      </c>
      <c r="BG3" s="12" t="str">
        <f t="shared" ref="BG3" si="14">BIN2HEX(AY10&amp;AY9&amp;AY8&amp;AY7&amp;AY6&amp;AY5&amp;AY4&amp;AY3)</f>
        <v>7E</v>
      </c>
      <c r="BH3" s="12" t="str">
        <f t="shared" ref="BH3" si="15">BIN2HEX(AZ10&amp;AZ9&amp;AZ8&amp;AZ7&amp;AZ6&amp;AZ5&amp;AZ4&amp;AZ3)</f>
        <v>49</v>
      </c>
      <c r="BI3" s="12" t="str">
        <f t="shared" ref="BI3" si="16">BIN2HEX(BA10&amp;BA9&amp;BA8&amp;BA7&amp;BA6&amp;BA5&amp;BA4&amp;BA3)</f>
        <v>49</v>
      </c>
      <c r="BJ3" s="12" t="str">
        <f t="shared" ref="BJ3" si="17">BIN2HEX(BB10&amp;BB9&amp;BB8&amp;BB7&amp;BB6&amp;BB5&amp;BB4&amp;BB3)</f>
        <v>31</v>
      </c>
      <c r="BK3" s="12" t="str">
        <f t="shared" ref="BK3" si="18">BIN2HEX(BC10&amp;BC9&amp;BC8&amp;BC7&amp;BC6&amp;BC5&amp;BC4&amp;BC3)</f>
        <v>0</v>
      </c>
      <c r="BL3" s="12" t="str">
        <f>BIN2HEX(BD10&amp;BD9&amp;BD8&amp;BD7&amp;BD6&amp;BD5&amp;BD4&amp;BD3)</f>
        <v>0</v>
      </c>
      <c r="BO3" s="25">
        <v>0</v>
      </c>
      <c r="BP3" s="11">
        <v>0</v>
      </c>
      <c r="BQ3" s="11">
        <v>0</v>
      </c>
      <c r="BR3" s="11">
        <v>1</v>
      </c>
      <c r="BS3" s="11">
        <v>1</v>
      </c>
      <c r="BT3" s="11">
        <v>0</v>
      </c>
      <c r="BU3" s="11">
        <v>0</v>
      </c>
      <c r="BV3" s="11">
        <v>0</v>
      </c>
      <c r="BW3" s="12" t="str">
        <f>BIN2HEX(BO10&amp;BO9&amp;BO8&amp;BO7&amp;BO6&amp;BO5&amp;BO4&amp;BO3)</f>
        <v>0</v>
      </c>
      <c r="BX3" s="12" t="str">
        <f t="shared" ref="BX3" si="19">BIN2HEX(BP10&amp;BP9&amp;BP8&amp;BP7&amp;BP6&amp;BP5&amp;BP4&amp;BP3)</f>
        <v>0</v>
      </c>
      <c r="BY3" s="12" t="str">
        <f t="shared" ref="BY3" si="20">BIN2HEX(BQ10&amp;BQ9&amp;BQ8&amp;BQ7&amp;BQ6&amp;BQ5&amp;BQ4&amp;BQ3)</f>
        <v>7E</v>
      </c>
      <c r="BZ3" s="12" t="str">
        <f t="shared" ref="BZ3" si="21">BIN2HEX(BR10&amp;BR9&amp;BR8&amp;BR7&amp;BR6&amp;BR5&amp;BR4&amp;BR3)</f>
        <v>11</v>
      </c>
      <c r="CA3" s="12" t="str">
        <f t="shared" ref="CA3" si="22">BIN2HEX(BS10&amp;BS9&amp;BS8&amp;BS7&amp;BS6&amp;BS5&amp;BS4&amp;BS3)</f>
        <v>11</v>
      </c>
      <c r="CB3" s="12" t="str">
        <f t="shared" ref="CB3" si="23">BIN2HEX(BT10&amp;BT9&amp;BT8&amp;BT7&amp;BT6&amp;BT5&amp;BT4&amp;BT3)</f>
        <v>7E</v>
      </c>
      <c r="CC3" s="12" t="str">
        <f t="shared" ref="CC3" si="24">BIN2HEX(BU10&amp;BU9&amp;BU8&amp;BU7&amp;BU6&amp;BU5&amp;BU4&amp;BU3)</f>
        <v>0</v>
      </c>
      <c r="CD3" s="12" t="str">
        <f>BIN2HEX(BV10&amp;BV9&amp;BV8&amp;BV7&amp;BV6&amp;BV5&amp;BV4&amp;BV3)</f>
        <v>0</v>
      </c>
      <c r="CE3" s="11">
        <v>0</v>
      </c>
      <c r="CF3" s="11">
        <v>0</v>
      </c>
      <c r="CG3" s="11">
        <v>1</v>
      </c>
      <c r="CH3" s="11">
        <v>1</v>
      </c>
      <c r="CI3" s="11">
        <v>1</v>
      </c>
      <c r="CJ3" s="11">
        <v>0</v>
      </c>
      <c r="CK3" s="11">
        <v>0</v>
      </c>
      <c r="CL3" s="11">
        <v>0</v>
      </c>
      <c r="CM3" s="12" t="str">
        <f>BIN2HEX(CE10&amp;CE9&amp;CE8&amp;CE7&amp;CE6&amp;CE5&amp;CE4&amp;CE3)</f>
        <v>0</v>
      </c>
      <c r="CN3" s="12" t="str">
        <f t="shared" ref="CN3" si="25">BIN2HEX(CF10&amp;CF9&amp;CF8&amp;CF7&amp;CF6&amp;CF5&amp;CF4&amp;CF3)</f>
        <v>0</v>
      </c>
      <c r="CO3" s="12" t="str">
        <f t="shared" ref="CO3" si="26">BIN2HEX(CG10&amp;CG9&amp;CG8&amp;CG7&amp;CG6&amp;CG5&amp;CG4&amp;CG3)</f>
        <v>7F</v>
      </c>
      <c r="CP3" s="12" t="str">
        <f t="shared" ref="CP3" si="27">BIN2HEX(CH10&amp;CH9&amp;CH8&amp;CH7&amp;CH6&amp;CH5&amp;CH4&amp;CH3)</f>
        <v>49</v>
      </c>
      <c r="CQ3" s="12" t="str">
        <f t="shared" ref="CQ3" si="28">BIN2HEX(CI10&amp;CI9&amp;CI8&amp;CI7&amp;CI6&amp;CI5&amp;CI4&amp;CI3)</f>
        <v>49</v>
      </c>
      <c r="CR3" s="12" t="str">
        <f t="shared" ref="CR3" si="29">BIN2HEX(CJ10&amp;CJ9&amp;CJ8&amp;CJ7&amp;CJ6&amp;CJ5&amp;CJ4&amp;CJ3)</f>
        <v>36</v>
      </c>
      <c r="CS3" s="12" t="str">
        <f t="shared" ref="CS3" si="30">BIN2HEX(CK10&amp;CK9&amp;CK8&amp;CK7&amp;CK6&amp;CK5&amp;CK4&amp;CK3)</f>
        <v>0</v>
      </c>
      <c r="CT3" s="12" t="str">
        <f>BIN2HEX(CL10&amp;CL9&amp;CL8&amp;CL7&amp;CL6&amp;CL5&amp;CL4&amp;CL3)</f>
        <v>0</v>
      </c>
    </row>
    <row r="4" spans="1:98" x14ac:dyDescent="0.25">
      <c r="A4" s="14">
        <v>1</v>
      </c>
      <c r="B4" s="14">
        <v>1</v>
      </c>
      <c r="C4" s="14">
        <v>1</v>
      </c>
      <c r="D4" s="14">
        <v>1</v>
      </c>
      <c r="E4" s="14">
        <v>1</v>
      </c>
      <c r="F4" s="14">
        <v>1</v>
      </c>
      <c r="G4" s="14">
        <v>1</v>
      </c>
      <c r="H4" s="14">
        <v>1</v>
      </c>
      <c r="I4" s="36" t="str">
        <f>"0x"&amp;I3&amp;", 0x"&amp;J3&amp;", 0x"&amp;K3&amp;", 0x"&amp;L3&amp;", 0x"&amp;M3&amp;", 0x"&amp;N3&amp;", 0x"&amp;O3&amp;", 0x"&amp;P3</f>
        <v>0x1E, 0x3F, 0x7F, 0xFE, 0xFE, 0x7F, 0x3F, 0x1E</v>
      </c>
      <c r="J4" s="34"/>
      <c r="K4" s="34"/>
      <c r="L4" s="34"/>
      <c r="M4" s="34"/>
      <c r="N4" s="34"/>
      <c r="O4" s="34"/>
      <c r="P4" s="34"/>
      <c r="Q4" s="14">
        <v>0</v>
      </c>
      <c r="R4" s="14">
        <v>1</v>
      </c>
      <c r="S4" s="14">
        <v>1</v>
      </c>
      <c r="T4" s="11">
        <v>0</v>
      </c>
      <c r="U4" s="14">
        <v>1</v>
      </c>
      <c r="V4" s="14">
        <v>0</v>
      </c>
      <c r="W4" s="14">
        <v>0</v>
      </c>
      <c r="X4" s="14">
        <v>1</v>
      </c>
      <c r="Y4" s="36" t="str">
        <f>"0x"&amp;Y3&amp;", 0x"&amp;Z3&amp;", 0x"&amp;AA3&amp;", 0x"&amp;AB3&amp;", 0x"&amp;AC3&amp;", 0x"&amp;AD3&amp;", 0x"&amp;AE3&amp;", 0x"&amp;AF3</f>
        <v>0x0, 0x12, 0x12, 0x0, 0x22, 0x49, 0x49, 0x36</v>
      </c>
      <c r="Z4" s="34"/>
      <c r="AA4" s="34"/>
      <c r="AB4" s="34"/>
      <c r="AC4" s="34"/>
      <c r="AD4" s="34"/>
      <c r="AE4" s="34"/>
      <c r="AF4" s="37"/>
      <c r="AG4" s="14">
        <v>0</v>
      </c>
      <c r="AH4" s="14">
        <v>0</v>
      </c>
      <c r="AI4" s="14">
        <v>1</v>
      </c>
      <c r="AJ4" s="14">
        <v>0</v>
      </c>
      <c r="AK4" s="14">
        <v>0</v>
      </c>
      <c r="AL4" s="14">
        <v>1</v>
      </c>
      <c r="AM4" s="14">
        <v>0</v>
      </c>
      <c r="AN4" s="14">
        <v>0</v>
      </c>
      <c r="AO4" s="36" t="str">
        <f>"0x"&amp;AO3&amp;", 0x"&amp;AP3&amp;", 0x"&amp;AQ3&amp;", 0x"&amp;AR3&amp;", 0x"&amp;AS3&amp;", 0x"&amp;AT3&amp;", 0x"&amp;AU3&amp;", 0x"&amp;AV3</f>
        <v>0x0, 0x0, 0x7E, 0x11, 0x11, 0x7E, 0x0, 0x0</v>
      </c>
      <c r="AP4" s="34"/>
      <c r="AQ4" s="34"/>
      <c r="AR4" s="34"/>
      <c r="AS4" s="34"/>
      <c r="AT4" s="34"/>
      <c r="AU4" s="34"/>
      <c r="AV4" s="34"/>
      <c r="AW4" s="14">
        <v>0</v>
      </c>
      <c r="AX4" s="14">
        <v>0</v>
      </c>
      <c r="AY4" s="14">
        <v>1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36" t="str">
        <f>"0x"&amp;BE3&amp;", 0x"&amp;BF3&amp;", 0x"&amp;BG3&amp;", 0x"&amp;BH3&amp;", 0x"&amp;BI3&amp;", 0x"&amp;BJ3&amp;", 0x"&amp;BK3&amp;", 0x"&amp;BL3</f>
        <v>0x0, 0x0, 0x7E, 0x49, 0x49, 0x31, 0x0, 0x0</v>
      </c>
      <c r="BF4" s="34"/>
      <c r="BG4" s="34"/>
      <c r="BH4" s="34"/>
      <c r="BI4" s="34"/>
      <c r="BJ4" s="34"/>
      <c r="BK4" s="34"/>
      <c r="BL4" s="37"/>
      <c r="BO4" s="26">
        <v>0</v>
      </c>
      <c r="BP4" s="14">
        <v>0</v>
      </c>
      <c r="BQ4" s="14">
        <v>1</v>
      </c>
      <c r="BR4" s="14">
        <v>0</v>
      </c>
      <c r="BS4" s="14">
        <v>0</v>
      </c>
      <c r="BT4" s="14">
        <v>1</v>
      </c>
      <c r="BU4" s="14">
        <v>0</v>
      </c>
      <c r="BV4" s="14">
        <v>0</v>
      </c>
      <c r="BW4" s="36" t="str">
        <f>"0x"&amp;BW3&amp;", 0x"&amp;BX3&amp;", 0x"&amp;BY3&amp;", 0x"&amp;BZ3&amp;", 0x"&amp;CA3&amp;", 0x"&amp;CB3&amp;", 0x"&amp;CC3&amp;", 0x"&amp;CD3</f>
        <v>0x0, 0x0, 0x7E, 0x11, 0x11, 0x7E, 0x0, 0x0</v>
      </c>
      <c r="BX4" s="34"/>
      <c r="BY4" s="34"/>
      <c r="BZ4" s="34"/>
      <c r="CA4" s="34"/>
      <c r="CB4" s="34"/>
      <c r="CC4" s="34"/>
      <c r="CD4" s="34"/>
      <c r="CE4" s="14">
        <v>0</v>
      </c>
      <c r="CF4" s="14">
        <v>0</v>
      </c>
      <c r="CG4" s="14">
        <v>1</v>
      </c>
      <c r="CH4" s="14">
        <v>0</v>
      </c>
      <c r="CI4" s="14">
        <v>0</v>
      </c>
      <c r="CJ4" s="14">
        <v>1</v>
      </c>
      <c r="CK4" s="14">
        <v>0</v>
      </c>
      <c r="CL4" s="14">
        <v>0</v>
      </c>
      <c r="CM4" s="36" t="str">
        <f>"0x"&amp;CM3&amp;", 0x"&amp;CN3&amp;", 0x"&amp;CO3&amp;", 0x"&amp;CP3&amp;", 0x"&amp;CQ3&amp;", 0x"&amp;CR3&amp;", 0x"&amp;CS3&amp;", 0x"&amp;CT3</f>
        <v>0x0, 0x0, 0x7F, 0x49, 0x49, 0x36, 0x0, 0x0</v>
      </c>
      <c r="CN4" s="34"/>
      <c r="CO4" s="34"/>
      <c r="CP4" s="34"/>
      <c r="CQ4" s="34"/>
      <c r="CR4" s="34"/>
      <c r="CS4" s="34"/>
      <c r="CT4" s="34"/>
    </row>
    <row r="5" spans="1:98" x14ac:dyDescent="0.25">
      <c r="A5" s="14">
        <v>1</v>
      </c>
      <c r="B5" s="14">
        <v>1</v>
      </c>
      <c r="C5" s="14">
        <v>1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36"/>
      <c r="J5" s="34"/>
      <c r="K5" s="34"/>
      <c r="L5" s="34"/>
      <c r="M5" s="34"/>
      <c r="N5" s="34"/>
      <c r="O5" s="34"/>
      <c r="P5" s="34"/>
      <c r="Q5" s="14">
        <v>0</v>
      </c>
      <c r="R5" s="14">
        <v>0</v>
      </c>
      <c r="S5" s="14">
        <v>0</v>
      </c>
      <c r="T5" s="11">
        <v>0</v>
      </c>
      <c r="U5" s="14">
        <v>0</v>
      </c>
      <c r="V5" s="14">
        <v>0</v>
      </c>
      <c r="W5" s="14">
        <v>0</v>
      </c>
      <c r="X5" s="14">
        <v>1</v>
      </c>
      <c r="Y5" s="36"/>
      <c r="Z5" s="34"/>
      <c r="AA5" s="34"/>
      <c r="AB5" s="34"/>
      <c r="AC5" s="34"/>
      <c r="AD5" s="34"/>
      <c r="AE5" s="34"/>
      <c r="AF5" s="37"/>
      <c r="AG5" s="14">
        <v>0</v>
      </c>
      <c r="AH5" s="14">
        <v>0</v>
      </c>
      <c r="AI5" s="14">
        <v>1</v>
      </c>
      <c r="AJ5" s="14">
        <v>0</v>
      </c>
      <c r="AK5" s="14">
        <v>0</v>
      </c>
      <c r="AL5" s="14">
        <v>1</v>
      </c>
      <c r="AM5" s="14">
        <v>0</v>
      </c>
      <c r="AN5" s="14">
        <v>0</v>
      </c>
      <c r="AO5" s="36"/>
      <c r="AP5" s="34"/>
      <c r="AQ5" s="34"/>
      <c r="AR5" s="34"/>
      <c r="AS5" s="34"/>
      <c r="AT5" s="34"/>
      <c r="AU5" s="34"/>
      <c r="AV5" s="34"/>
      <c r="AW5" s="14">
        <v>0</v>
      </c>
      <c r="AX5" s="14">
        <v>0</v>
      </c>
      <c r="AY5" s="14">
        <v>1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36"/>
      <c r="BF5" s="34"/>
      <c r="BG5" s="34"/>
      <c r="BH5" s="34"/>
      <c r="BI5" s="34"/>
      <c r="BJ5" s="34"/>
      <c r="BK5" s="34"/>
      <c r="BL5" s="37"/>
      <c r="BO5" s="26">
        <v>0</v>
      </c>
      <c r="BP5" s="14">
        <v>0</v>
      </c>
      <c r="BQ5" s="14">
        <v>1</v>
      </c>
      <c r="BR5" s="14">
        <v>0</v>
      </c>
      <c r="BS5" s="14">
        <v>0</v>
      </c>
      <c r="BT5" s="14">
        <v>1</v>
      </c>
      <c r="BU5" s="14">
        <v>0</v>
      </c>
      <c r="BV5" s="14">
        <v>0</v>
      </c>
      <c r="BW5" s="36"/>
      <c r="BX5" s="34"/>
      <c r="BY5" s="34"/>
      <c r="BZ5" s="34"/>
      <c r="CA5" s="34"/>
      <c r="CB5" s="34"/>
      <c r="CC5" s="34"/>
      <c r="CD5" s="34"/>
      <c r="CE5" s="14">
        <v>0</v>
      </c>
      <c r="CF5" s="14">
        <v>0</v>
      </c>
      <c r="CG5" s="14">
        <v>1</v>
      </c>
      <c r="CH5" s="14">
        <v>0</v>
      </c>
      <c r="CI5" s="14">
        <v>0</v>
      </c>
      <c r="CJ5" s="14">
        <v>1</v>
      </c>
      <c r="CK5" s="14">
        <v>0</v>
      </c>
      <c r="CL5" s="14">
        <v>0</v>
      </c>
      <c r="CM5" s="36"/>
      <c r="CN5" s="34"/>
      <c r="CO5" s="34"/>
      <c r="CP5" s="34"/>
      <c r="CQ5" s="34"/>
      <c r="CR5" s="34"/>
      <c r="CS5" s="34"/>
      <c r="CT5" s="34"/>
    </row>
    <row r="6" spans="1:98" x14ac:dyDescent="0.25">
      <c r="A6" s="14">
        <v>1</v>
      </c>
      <c r="B6" s="14">
        <v>1</v>
      </c>
      <c r="C6" s="14">
        <v>1</v>
      </c>
      <c r="D6" s="14">
        <v>1</v>
      </c>
      <c r="E6" s="14">
        <v>1</v>
      </c>
      <c r="F6" s="14">
        <v>1</v>
      </c>
      <c r="G6" s="14">
        <v>1</v>
      </c>
      <c r="H6" s="14">
        <v>1</v>
      </c>
      <c r="I6" s="16"/>
      <c r="J6" s="12"/>
      <c r="K6" s="12"/>
      <c r="L6" s="12"/>
      <c r="M6" s="12"/>
      <c r="N6" s="12"/>
      <c r="O6" s="12"/>
      <c r="P6" s="17"/>
      <c r="Q6" s="14">
        <v>0</v>
      </c>
      <c r="R6" s="14">
        <v>0</v>
      </c>
      <c r="S6" s="14">
        <v>0</v>
      </c>
      <c r="T6" s="11">
        <v>0</v>
      </c>
      <c r="U6" s="14">
        <v>0</v>
      </c>
      <c r="V6" s="14">
        <v>1</v>
      </c>
      <c r="W6" s="14">
        <v>1</v>
      </c>
      <c r="X6" s="14">
        <v>0</v>
      </c>
      <c r="Y6" s="12"/>
      <c r="Z6" s="12"/>
      <c r="AA6" s="12"/>
      <c r="AB6" s="12"/>
      <c r="AC6" s="12"/>
      <c r="AD6" s="12"/>
      <c r="AE6" s="12"/>
      <c r="AF6" s="13"/>
      <c r="AG6" s="14">
        <v>0</v>
      </c>
      <c r="AH6" s="14">
        <v>0</v>
      </c>
      <c r="AI6" s="14">
        <v>1</v>
      </c>
      <c r="AJ6" s="14">
        <v>0</v>
      </c>
      <c r="AK6" s="14">
        <v>0</v>
      </c>
      <c r="AL6" s="14">
        <v>1</v>
      </c>
      <c r="AM6" s="14">
        <v>0</v>
      </c>
      <c r="AN6" s="14">
        <v>0</v>
      </c>
      <c r="AO6" s="40" t="s">
        <v>8</v>
      </c>
      <c r="AP6" s="41"/>
      <c r="AQ6" s="41"/>
      <c r="AR6" s="41"/>
      <c r="AS6" s="41"/>
      <c r="AT6" s="41"/>
      <c r="AU6" s="41"/>
      <c r="AV6" s="42"/>
      <c r="AW6" s="14">
        <v>0</v>
      </c>
      <c r="AX6" s="14">
        <v>0</v>
      </c>
      <c r="AY6" s="14">
        <v>1</v>
      </c>
      <c r="AZ6" s="14">
        <v>1</v>
      </c>
      <c r="BA6" s="14">
        <v>1</v>
      </c>
      <c r="BB6" s="14">
        <v>0</v>
      </c>
      <c r="BC6" s="14">
        <v>0</v>
      </c>
      <c r="BD6" s="14">
        <v>0</v>
      </c>
      <c r="BE6" s="40" t="s">
        <v>7</v>
      </c>
      <c r="BF6" s="41"/>
      <c r="BG6" s="41"/>
      <c r="BH6" s="41"/>
      <c r="BI6" s="41"/>
      <c r="BJ6" s="41"/>
      <c r="BK6" s="41"/>
      <c r="BL6" s="43"/>
      <c r="BO6" s="26">
        <v>0</v>
      </c>
      <c r="BP6" s="14">
        <v>0</v>
      </c>
      <c r="BQ6" s="14">
        <v>1</v>
      </c>
      <c r="BR6" s="14">
        <v>0</v>
      </c>
      <c r="BS6" s="14">
        <v>0</v>
      </c>
      <c r="BT6" s="14">
        <v>1</v>
      </c>
      <c r="BU6" s="14">
        <v>0</v>
      </c>
      <c r="BV6" s="14">
        <v>0</v>
      </c>
      <c r="BW6" s="40" t="s">
        <v>56</v>
      </c>
      <c r="BX6" s="41"/>
      <c r="BY6" s="41"/>
      <c r="BZ6" s="41"/>
      <c r="CA6" s="41"/>
      <c r="CB6" s="41"/>
      <c r="CC6" s="41"/>
      <c r="CD6" s="42"/>
      <c r="CE6" s="14">
        <v>0</v>
      </c>
      <c r="CF6" s="14">
        <v>0</v>
      </c>
      <c r="CG6" s="14">
        <v>1</v>
      </c>
      <c r="CH6" s="14">
        <v>1</v>
      </c>
      <c r="CI6" s="14">
        <v>1</v>
      </c>
      <c r="CJ6" s="14">
        <v>0</v>
      </c>
      <c r="CK6" s="14">
        <v>0</v>
      </c>
      <c r="CL6" s="14">
        <v>0</v>
      </c>
      <c r="CM6" s="40" t="s">
        <v>57</v>
      </c>
      <c r="CN6" s="41"/>
      <c r="CO6" s="41"/>
      <c r="CP6" s="41"/>
      <c r="CQ6" s="41"/>
      <c r="CR6" s="41"/>
      <c r="CS6" s="41"/>
      <c r="CT6" s="42"/>
    </row>
    <row r="7" spans="1:98" ht="15" customHeight="1" x14ac:dyDescent="0.25">
      <c r="A7" s="14">
        <v>1</v>
      </c>
      <c r="B7" s="14">
        <v>1</v>
      </c>
      <c r="C7" s="14">
        <v>1</v>
      </c>
      <c r="D7" s="14">
        <v>1</v>
      </c>
      <c r="E7" s="14">
        <v>1</v>
      </c>
      <c r="F7" s="14">
        <v>1</v>
      </c>
      <c r="G7" s="14">
        <v>1</v>
      </c>
      <c r="H7" s="14">
        <v>1</v>
      </c>
      <c r="I7" s="33" t="str">
        <f>"{{"&amp;I4&amp;"}"&amp;", "&amp;$I$1&amp;"},  //"&amp;I6&amp;":"&amp;M2&amp;":"&amp;O2</f>
        <v>{{0x1E, 0x3F, 0x7F, 0xFE, 0xFE, 0x7F, 0x3F, 0x1E}, 8},  //::</v>
      </c>
      <c r="J7" s="34"/>
      <c r="K7" s="34"/>
      <c r="L7" s="34"/>
      <c r="M7" s="34"/>
      <c r="N7" s="34"/>
      <c r="O7" s="34"/>
      <c r="P7" s="35"/>
      <c r="Q7" s="14">
        <v>0</v>
      </c>
      <c r="R7" s="14">
        <v>1</v>
      </c>
      <c r="S7" s="14">
        <v>1</v>
      </c>
      <c r="T7" s="11">
        <v>0</v>
      </c>
      <c r="U7" s="14">
        <v>0</v>
      </c>
      <c r="V7" s="14">
        <v>0</v>
      </c>
      <c r="W7" s="14">
        <v>0</v>
      </c>
      <c r="X7" s="14">
        <v>1</v>
      </c>
      <c r="Y7" s="33" t="str">
        <f>"{{"&amp;Y4&amp;"}"&amp;", "&amp;$I$1&amp;"},  //"&amp;Y6&amp;":"&amp;AC2&amp;":"&amp;AE2</f>
        <v>{{0x0, 0x12, 0x12, 0x0, 0x22, 0x49, 0x49, 0x36}, 8},  //::</v>
      </c>
      <c r="Z7" s="34"/>
      <c r="AA7" s="34"/>
      <c r="AB7" s="34"/>
      <c r="AC7" s="34"/>
      <c r="AD7" s="34"/>
      <c r="AE7" s="34"/>
      <c r="AF7" s="35"/>
      <c r="AG7" s="14">
        <v>0</v>
      </c>
      <c r="AH7" s="14">
        <v>0</v>
      </c>
      <c r="AI7" s="14">
        <v>1</v>
      </c>
      <c r="AJ7" s="14">
        <v>1</v>
      </c>
      <c r="AK7" s="14">
        <v>1</v>
      </c>
      <c r="AL7" s="14">
        <v>1</v>
      </c>
      <c r="AM7" s="14">
        <v>0</v>
      </c>
      <c r="AN7" s="14">
        <v>0</v>
      </c>
      <c r="AO7" s="33" t="str">
        <f>"{{"&amp;AO4&amp;"}"&amp;", "&amp;$I$1&amp;"},  //"&amp;AO6&amp;":"&amp;AS2&amp;":"&amp;AU2</f>
        <v>{{0x0, 0x0, 0x7E, 0x11, 0x11, 0x7E, 0x0, 0x0}, 8},  //А:208:144</v>
      </c>
      <c r="AP7" s="34"/>
      <c r="AQ7" s="34"/>
      <c r="AR7" s="34"/>
      <c r="AS7" s="34"/>
      <c r="AT7" s="34"/>
      <c r="AU7" s="34"/>
      <c r="AV7" s="35"/>
      <c r="AW7" s="14">
        <v>0</v>
      </c>
      <c r="AX7" s="14">
        <v>0</v>
      </c>
      <c r="AY7" s="14">
        <v>1</v>
      </c>
      <c r="AZ7" s="14">
        <v>0</v>
      </c>
      <c r="BA7" s="14">
        <v>0</v>
      </c>
      <c r="BB7" s="14">
        <v>1</v>
      </c>
      <c r="BC7" s="14">
        <v>0</v>
      </c>
      <c r="BD7" s="14">
        <v>0</v>
      </c>
      <c r="BE7" s="33" t="str">
        <f>"{{"&amp;BE4&amp;"}"&amp;", "&amp;$I$1&amp;"},  //"&amp;BE6&amp;":"&amp;BI2&amp;":"&amp;BK2</f>
        <v>{{0x0, 0x0, 0x7E, 0x49, 0x49, 0x31, 0x0, 0x0}, 8},  //Б:208:145</v>
      </c>
      <c r="BF7" s="34"/>
      <c r="BG7" s="34"/>
      <c r="BH7" s="34"/>
      <c r="BI7" s="34"/>
      <c r="BJ7" s="34"/>
      <c r="BK7" s="34"/>
      <c r="BL7" s="35"/>
      <c r="BO7" s="26">
        <v>0</v>
      </c>
      <c r="BP7" s="14">
        <v>0</v>
      </c>
      <c r="BQ7" s="14">
        <v>1</v>
      </c>
      <c r="BR7" s="14">
        <v>1</v>
      </c>
      <c r="BS7" s="14">
        <v>1</v>
      </c>
      <c r="BT7" s="14">
        <v>1</v>
      </c>
      <c r="BU7" s="14">
        <v>0</v>
      </c>
      <c r="BV7" s="14">
        <v>0</v>
      </c>
      <c r="BW7" s="33" t="str">
        <f>"{{"&amp;BW4&amp;"}"&amp;", "&amp;$I$1&amp;"},  //"&amp;BW6&amp;":"&amp;CA2&amp;":"&amp;CC2</f>
        <v>{{0x0, 0x0, 0x7E, 0x11, 0x11, 0x7E, 0x0, 0x0}, 8},  //A:0:65</v>
      </c>
      <c r="BX7" s="34"/>
      <c r="BY7" s="34"/>
      <c r="BZ7" s="34"/>
      <c r="CA7" s="34"/>
      <c r="CB7" s="34"/>
      <c r="CC7" s="34"/>
      <c r="CD7" s="35"/>
      <c r="CE7" s="14">
        <v>0</v>
      </c>
      <c r="CF7" s="14">
        <v>0</v>
      </c>
      <c r="CG7" s="14">
        <v>1</v>
      </c>
      <c r="CH7" s="14">
        <v>0</v>
      </c>
      <c r="CI7" s="14">
        <v>0</v>
      </c>
      <c r="CJ7" s="14">
        <v>1</v>
      </c>
      <c r="CK7" s="14">
        <v>0</v>
      </c>
      <c r="CL7" s="14">
        <v>0</v>
      </c>
      <c r="CM7" s="33" t="str">
        <f>"{{"&amp;CM4&amp;"}"&amp;", "&amp;$I$1&amp;"},  //"&amp;CM6&amp;":"&amp;CQ2&amp;":"&amp;CS2</f>
        <v>{{0x0, 0x0, 0x7F, 0x49, 0x49, 0x36, 0x0, 0x0}, 8},  //B:0:66</v>
      </c>
      <c r="CN7" s="34"/>
      <c r="CO7" s="34"/>
      <c r="CP7" s="34"/>
      <c r="CQ7" s="34"/>
      <c r="CR7" s="34"/>
      <c r="CS7" s="34"/>
      <c r="CT7" s="35"/>
    </row>
    <row r="8" spans="1:98" x14ac:dyDescent="0.25">
      <c r="A8" s="14">
        <v>0</v>
      </c>
      <c r="B8" s="14">
        <v>1</v>
      </c>
      <c r="C8" s="14">
        <v>1</v>
      </c>
      <c r="D8" s="14">
        <v>1</v>
      </c>
      <c r="E8" s="14">
        <v>1</v>
      </c>
      <c r="F8" s="14">
        <v>1</v>
      </c>
      <c r="G8" s="14">
        <v>1</v>
      </c>
      <c r="H8" s="14">
        <v>0</v>
      </c>
      <c r="I8" s="33"/>
      <c r="J8" s="34"/>
      <c r="K8" s="34"/>
      <c r="L8" s="34"/>
      <c r="M8" s="34"/>
      <c r="N8" s="34"/>
      <c r="O8" s="34"/>
      <c r="P8" s="35"/>
      <c r="Q8" s="14">
        <v>0</v>
      </c>
      <c r="R8" s="14">
        <v>0</v>
      </c>
      <c r="S8" s="14">
        <v>0</v>
      </c>
      <c r="T8" s="11">
        <v>0</v>
      </c>
      <c r="U8" s="14">
        <v>1</v>
      </c>
      <c r="V8" s="14">
        <v>0</v>
      </c>
      <c r="W8" s="14">
        <v>0</v>
      </c>
      <c r="X8" s="14">
        <v>1</v>
      </c>
      <c r="Y8" s="33"/>
      <c r="Z8" s="34"/>
      <c r="AA8" s="34"/>
      <c r="AB8" s="34"/>
      <c r="AC8" s="34"/>
      <c r="AD8" s="34"/>
      <c r="AE8" s="34"/>
      <c r="AF8" s="35"/>
      <c r="AG8" s="14">
        <v>0</v>
      </c>
      <c r="AH8" s="14">
        <v>0</v>
      </c>
      <c r="AI8" s="14">
        <v>1</v>
      </c>
      <c r="AJ8" s="14">
        <v>0</v>
      </c>
      <c r="AK8" s="14">
        <v>0</v>
      </c>
      <c r="AL8" s="14">
        <v>1</v>
      </c>
      <c r="AM8" s="14">
        <v>0</v>
      </c>
      <c r="AN8" s="14">
        <v>0</v>
      </c>
      <c r="AO8" s="33"/>
      <c r="AP8" s="34"/>
      <c r="AQ8" s="34"/>
      <c r="AR8" s="34"/>
      <c r="AS8" s="34"/>
      <c r="AT8" s="34"/>
      <c r="AU8" s="34"/>
      <c r="AV8" s="35"/>
      <c r="AW8" s="14">
        <v>0</v>
      </c>
      <c r="AX8" s="14">
        <v>0</v>
      </c>
      <c r="AY8" s="14">
        <v>1</v>
      </c>
      <c r="AZ8" s="14">
        <v>0</v>
      </c>
      <c r="BA8" s="14">
        <v>0</v>
      </c>
      <c r="BB8" s="14">
        <v>1</v>
      </c>
      <c r="BC8" s="14">
        <v>0</v>
      </c>
      <c r="BD8" s="14">
        <v>0</v>
      </c>
      <c r="BE8" s="33"/>
      <c r="BF8" s="34"/>
      <c r="BG8" s="34"/>
      <c r="BH8" s="34"/>
      <c r="BI8" s="34"/>
      <c r="BJ8" s="34"/>
      <c r="BK8" s="34"/>
      <c r="BL8" s="35"/>
      <c r="BO8" s="26">
        <v>0</v>
      </c>
      <c r="BP8" s="14">
        <v>0</v>
      </c>
      <c r="BQ8" s="14">
        <v>1</v>
      </c>
      <c r="BR8" s="14">
        <v>0</v>
      </c>
      <c r="BS8" s="14">
        <v>0</v>
      </c>
      <c r="BT8" s="14">
        <v>1</v>
      </c>
      <c r="BU8" s="14">
        <v>0</v>
      </c>
      <c r="BV8" s="14">
        <v>0</v>
      </c>
      <c r="BW8" s="33"/>
      <c r="BX8" s="34"/>
      <c r="BY8" s="34"/>
      <c r="BZ8" s="34"/>
      <c r="CA8" s="34"/>
      <c r="CB8" s="34"/>
      <c r="CC8" s="34"/>
      <c r="CD8" s="35"/>
      <c r="CE8" s="14">
        <v>0</v>
      </c>
      <c r="CF8" s="14">
        <v>0</v>
      </c>
      <c r="CG8" s="14">
        <v>1</v>
      </c>
      <c r="CH8" s="14">
        <v>0</v>
      </c>
      <c r="CI8" s="14">
        <v>0</v>
      </c>
      <c r="CJ8" s="14">
        <v>1</v>
      </c>
      <c r="CK8" s="14">
        <v>0</v>
      </c>
      <c r="CL8" s="14">
        <v>0</v>
      </c>
      <c r="CM8" s="33"/>
      <c r="CN8" s="34"/>
      <c r="CO8" s="34"/>
      <c r="CP8" s="34"/>
      <c r="CQ8" s="34"/>
      <c r="CR8" s="34"/>
      <c r="CS8" s="34"/>
      <c r="CT8" s="35"/>
    </row>
    <row r="9" spans="1:98" x14ac:dyDescent="0.25">
      <c r="A9" s="14">
        <v>0</v>
      </c>
      <c r="B9" s="14">
        <v>0</v>
      </c>
      <c r="C9" s="14">
        <v>1</v>
      </c>
      <c r="D9" s="14">
        <v>1</v>
      </c>
      <c r="E9" s="14">
        <v>1</v>
      </c>
      <c r="F9" s="14">
        <v>1</v>
      </c>
      <c r="G9" s="14">
        <v>0</v>
      </c>
      <c r="H9" s="14">
        <v>0</v>
      </c>
      <c r="I9" s="12"/>
      <c r="J9" s="12"/>
      <c r="K9" s="12"/>
      <c r="L9" s="12"/>
      <c r="M9" s="12"/>
      <c r="N9" s="12"/>
      <c r="O9" s="12"/>
      <c r="P9" s="12"/>
      <c r="Q9" s="14">
        <v>0</v>
      </c>
      <c r="R9" s="14">
        <v>0</v>
      </c>
      <c r="S9" s="14">
        <v>0</v>
      </c>
      <c r="T9" s="11">
        <v>0</v>
      </c>
      <c r="U9" s="14">
        <v>0</v>
      </c>
      <c r="V9" s="14">
        <v>1</v>
      </c>
      <c r="W9" s="14">
        <v>1</v>
      </c>
      <c r="X9" s="14">
        <v>0</v>
      </c>
      <c r="Y9" s="12"/>
      <c r="Z9" s="12"/>
      <c r="AA9" s="12"/>
      <c r="AB9" s="12"/>
      <c r="AC9" s="12"/>
      <c r="AD9" s="12"/>
      <c r="AE9" s="12"/>
      <c r="AF9" s="13"/>
      <c r="AG9" s="14">
        <v>0</v>
      </c>
      <c r="AH9" s="14">
        <v>0</v>
      </c>
      <c r="AI9" s="14">
        <v>1</v>
      </c>
      <c r="AJ9" s="14">
        <v>0</v>
      </c>
      <c r="AK9" s="14">
        <v>0</v>
      </c>
      <c r="AL9" s="14">
        <v>1</v>
      </c>
      <c r="AM9" s="14">
        <v>0</v>
      </c>
      <c r="AN9" s="14">
        <v>0</v>
      </c>
      <c r="AO9" s="40" t="s">
        <v>48</v>
      </c>
      <c r="AP9" s="41"/>
      <c r="AQ9" s="41"/>
      <c r="AR9" s="41"/>
      <c r="AS9" s="44">
        <v>208</v>
      </c>
      <c r="AT9" s="44"/>
      <c r="AU9" s="44">
        <v>176</v>
      </c>
      <c r="AV9" s="45"/>
      <c r="AW9" s="14">
        <v>0</v>
      </c>
      <c r="AX9" s="14">
        <v>0</v>
      </c>
      <c r="AY9" s="14">
        <v>1</v>
      </c>
      <c r="AZ9" s="14">
        <v>1</v>
      </c>
      <c r="BA9" s="14">
        <v>1</v>
      </c>
      <c r="BB9" s="14">
        <v>0</v>
      </c>
      <c r="BC9" s="14">
        <v>0</v>
      </c>
      <c r="BD9" s="14">
        <v>0</v>
      </c>
      <c r="BE9" s="40" t="s">
        <v>48</v>
      </c>
      <c r="BF9" s="41"/>
      <c r="BG9" s="41"/>
      <c r="BH9" s="41"/>
      <c r="BI9" s="44">
        <v>208</v>
      </c>
      <c r="BJ9" s="44"/>
      <c r="BK9" s="44">
        <v>177</v>
      </c>
      <c r="BL9" s="45"/>
      <c r="BO9" s="26">
        <v>0</v>
      </c>
      <c r="BP9" s="14">
        <v>0</v>
      </c>
      <c r="BQ9" s="14">
        <v>1</v>
      </c>
      <c r="BR9" s="14">
        <v>0</v>
      </c>
      <c r="BS9" s="14">
        <v>0</v>
      </c>
      <c r="BT9" s="14">
        <v>1</v>
      </c>
      <c r="BU9" s="14">
        <v>0</v>
      </c>
      <c r="BV9" s="14">
        <v>0</v>
      </c>
      <c r="BW9" s="40" t="s">
        <v>48</v>
      </c>
      <c r="BX9" s="41"/>
      <c r="BY9" s="41"/>
      <c r="BZ9" s="41"/>
      <c r="CA9" s="44">
        <v>0</v>
      </c>
      <c r="CB9" s="44"/>
      <c r="CC9" s="44">
        <v>97</v>
      </c>
      <c r="CD9" s="45"/>
      <c r="CE9" s="14">
        <v>0</v>
      </c>
      <c r="CF9" s="14">
        <v>0</v>
      </c>
      <c r="CG9" s="14">
        <v>1</v>
      </c>
      <c r="CH9" s="14">
        <v>1</v>
      </c>
      <c r="CI9" s="14">
        <v>1</v>
      </c>
      <c r="CJ9" s="14">
        <v>0</v>
      </c>
      <c r="CK9" s="14">
        <v>0</v>
      </c>
      <c r="CL9" s="14">
        <v>0</v>
      </c>
      <c r="CM9" s="40" t="s">
        <v>48</v>
      </c>
      <c r="CN9" s="41"/>
      <c r="CO9" s="41"/>
      <c r="CP9" s="41"/>
      <c r="CQ9" s="44">
        <v>0</v>
      </c>
      <c r="CR9" s="44"/>
      <c r="CS9" s="44">
        <v>98</v>
      </c>
      <c r="CT9" s="45"/>
    </row>
    <row r="10" spans="1:98" x14ac:dyDescent="0.25">
      <c r="A10" s="15">
        <v>0</v>
      </c>
      <c r="B10" s="15">
        <v>0</v>
      </c>
      <c r="C10" s="15">
        <v>0</v>
      </c>
      <c r="D10" s="15">
        <v>1</v>
      </c>
      <c r="E10" s="15">
        <v>1</v>
      </c>
      <c r="F10" s="15">
        <v>0</v>
      </c>
      <c r="G10" s="15">
        <v>0</v>
      </c>
      <c r="H10" s="15">
        <v>0</v>
      </c>
      <c r="I10" s="12"/>
      <c r="J10" s="12"/>
      <c r="K10" s="12"/>
      <c r="L10" s="12"/>
      <c r="M10" s="12"/>
      <c r="N10" s="12"/>
      <c r="O10" s="12"/>
      <c r="P10" s="12"/>
      <c r="Q10" s="15">
        <v>0</v>
      </c>
      <c r="R10" s="15">
        <v>0</v>
      </c>
      <c r="S10" s="15">
        <v>0</v>
      </c>
      <c r="T10" s="11">
        <v>0</v>
      </c>
      <c r="U10" s="15">
        <v>0</v>
      </c>
      <c r="V10" s="15">
        <v>0</v>
      </c>
      <c r="W10" s="15">
        <v>0</v>
      </c>
      <c r="X10" s="15">
        <v>0</v>
      </c>
      <c r="Y10" s="12"/>
      <c r="Z10" s="12"/>
      <c r="AA10" s="12"/>
      <c r="AB10" s="12"/>
      <c r="AC10" s="12"/>
      <c r="AD10" s="12"/>
      <c r="AE10" s="12"/>
      <c r="AF10" s="13"/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2"/>
      <c r="AP10" s="12"/>
      <c r="AQ10" s="12"/>
      <c r="AR10" s="12"/>
      <c r="AS10" s="12"/>
      <c r="AT10" s="12"/>
      <c r="AU10" s="12"/>
      <c r="AV10" s="12"/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2"/>
      <c r="BF10" s="12"/>
      <c r="BG10" s="12"/>
      <c r="BH10" s="12"/>
      <c r="BI10" s="12"/>
      <c r="BJ10" s="12"/>
      <c r="BK10" s="12"/>
      <c r="BL10" s="12"/>
      <c r="BO10" s="27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2"/>
      <c r="BX10" s="12"/>
      <c r="BY10" s="12"/>
      <c r="BZ10" s="12"/>
      <c r="CA10" s="12"/>
      <c r="CB10" s="12"/>
      <c r="CC10" s="12"/>
      <c r="CD10" s="12"/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2"/>
      <c r="CN10" s="12"/>
      <c r="CO10" s="12"/>
      <c r="CP10" s="12"/>
      <c r="CQ10" s="12"/>
      <c r="CR10" s="12"/>
      <c r="CS10" s="12"/>
      <c r="CT10" s="12"/>
    </row>
    <row r="11" spans="1:98" s="6" customFormat="1" x14ac:dyDescent="0.25">
      <c r="A11" s="10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  <c r="G11" s="10">
        <v>7</v>
      </c>
      <c r="H11" s="10">
        <v>8</v>
      </c>
      <c r="I11" s="38" t="s">
        <v>0</v>
      </c>
      <c r="J11" s="38"/>
      <c r="K11" s="38"/>
      <c r="L11" s="38"/>
      <c r="M11" s="39">
        <v>208</v>
      </c>
      <c r="N11" s="39"/>
      <c r="O11" s="39">
        <v>146</v>
      </c>
      <c r="P11" s="39"/>
      <c r="Q11" s="10">
        <v>1</v>
      </c>
      <c r="R11" s="10">
        <v>2</v>
      </c>
      <c r="S11" s="10">
        <v>3</v>
      </c>
      <c r="T11" s="10">
        <v>4</v>
      </c>
      <c r="U11" s="10">
        <v>5</v>
      </c>
      <c r="V11" s="10">
        <v>6</v>
      </c>
      <c r="W11" s="10">
        <v>7</v>
      </c>
      <c r="X11" s="10">
        <v>8</v>
      </c>
      <c r="Y11" s="38" t="s">
        <v>0</v>
      </c>
      <c r="Z11" s="38"/>
      <c r="AA11" s="38"/>
      <c r="AB11" s="38"/>
      <c r="AC11" s="39">
        <v>208</v>
      </c>
      <c r="AD11" s="39"/>
      <c r="AE11" s="39">
        <v>147</v>
      </c>
      <c r="AF11" s="39"/>
      <c r="AG11" s="10">
        <v>1</v>
      </c>
      <c r="AH11" s="10">
        <v>2</v>
      </c>
      <c r="AI11" s="10">
        <v>3</v>
      </c>
      <c r="AJ11" s="10">
        <v>4</v>
      </c>
      <c r="AK11" s="10">
        <v>5</v>
      </c>
      <c r="AL11" s="10">
        <v>6</v>
      </c>
      <c r="AM11" s="10">
        <v>7</v>
      </c>
      <c r="AN11" s="10">
        <v>8</v>
      </c>
      <c r="AO11" s="38" t="s">
        <v>0</v>
      </c>
      <c r="AP11" s="38"/>
      <c r="AQ11" s="38"/>
      <c r="AR11" s="38"/>
      <c r="AS11" s="39">
        <v>208</v>
      </c>
      <c r="AT11" s="39"/>
      <c r="AU11" s="39">
        <v>148</v>
      </c>
      <c r="AV11" s="39"/>
      <c r="AW11" s="10">
        <v>1</v>
      </c>
      <c r="AX11" s="10">
        <v>2</v>
      </c>
      <c r="AY11" s="10">
        <v>3</v>
      </c>
      <c r="AZ11" s="10">
        <v>4</v>
      </c>
      <c r="BA11" s="10">
        <v>5</v>
      </c>
      <c r="BB11" s="10">
        <v>6</v>
      </c>
      <c r="BC11" s="10">
        <v>7</v>
      </c>
      <c r="BD11" s="10">
        <v>8</v>
      </c>
      <c r="BE11" s="38" t="s">
        <v>0</v>
      </c>
      <c r="BF11" s="38"/>
      <c r="BG11" s="38"/>
      <c r="BH11" s="38"/>
      <c r="BI11" s="39">
        <v>208</v>
      </c>
      <c r="BJ11" s="39"/>
      <c r="BK11" s="39">
        <v>149</v>
      </c>
      <c r="BL11" s="39"/>
      <c r="BM11" s="21"/>
      <c r="BN11" s="21"/>
      <c r="BO11" s="24">
        <v>1</v>
      </c>
      <c r="BP11" s="10">
        <v>2</v>
      </c>
      <c r="BQ11" s="10">
        <v>3</v>
      </c>
      <c r="BR11" s="10">
        <v>4</v>
      </c>
      <c r="BS11" s="10">
        <v>5</v>
      </c>
      <c r="BT11" s="10">
        <v>6</v>
      </c>
      <c r="BU11" s="10">
        <v>7</v>
      </c>
      <c r="BV11" s="10">
        <v>8</v>
      </c>
      <c r="BW11" s="38" t="s">
        <v>0</v>
      </c>
      <c r="BX11" s="38"/>
      <c r="BY11" s="38"/>
      <c r="BZ11" s="38"/>
      <c r="CA11" s="39">
        <v>0</v>
      </c>
      <c r="CB11" s="39"/>
      <c r="CC11" s="39">
        <v>67</v>
      </c>
      <c r="CD11" s="39"/>
      <c r="CE11" s="10">
        <v>1</v>
      </c>
      <c r="CF11" s="10">
        <v>2</v>
      </c>
      <c r="CG11" s="10">
        <v>3</v>
      </c>
      <c r="CH11" s="10">
        <v>4</v>
      </c>
      <c r="CI11" s="10">
        <v>5</v>
      </c>
      <c r="CJ11" s="10">
        <v>6</v>
      </c>
      <c r="CK11" s="10">
        <v>7</v>
      </c>
      <c r="CL11" s="10">
        <v>8</v>
      </c>
      <c r="CM11" s="38" t="s">
        <v>0</v>
      </c>
      <c r="CN11" s="38"/>
      <c r="CO11" s="38"/>
      <c r="CP11" s="38"/>
      <c r="CQ11" s="39">
        <v>0</v>
      </c>
      <c r="CR11" s="39"/>
      <c r="CS11" s="39">
        <v>68</v>
      </c>
      <c r="CT11" s="39"/>
    </row>
    <row r="12" spans="1:98" x14ac:dyDescent="0.25">
      <c r="A12" s="11">
        <v>0</v>
      </c>
      <c r="B12" s="11">
        <v>0</v>
      </c>
      <c r="C12" s="11">
        <v>1</v>
      </c>
      <c r="D12" s="11">
        <v>1</v>
      </c>
      <c r="E12" s="11">
        <v>1</v>
      </c>
      <c r="F12" s="11">
        <v>0</v>
      </c>
      <c r="G12" s="11">
        <v>0</v>
      </c>
      <c r="H12" s="11">
        <v>0</v>
      </c>
      <c r="I12" s="12" t="str">
        <f>BIN2HEX(A19&amp;A18&amp;A17&amp;A16&amp;A15&amp;A14&amp;A13&amp;A12)</f>
        <v>0</v>
      </c>
      <c r="J12" s="12" t="str">
        <f t="shared" ref="J12" si="31">BIN2HEX(B19&amp;B18&amp;B17&amp;B16&amp;B15&amp;B14&amp;B13&amp;B12)</f>
        <v>0</v>
      </c>
      <c r="K12" s="12" t="str">
        <f t="shared" ref="K12" si="32">BIN2HEX(C19&amp;C18&amp;C17&amp;C16&amp;C15&amp;C14&amp;C13&amp;C12)</f>
        <v>7F</v>
      </c>
      <c r="L12" s="12" t="str">
        <f t="shared" ref="L12" si="33">BIN2HEX(D19&amp;D18&amp;D17&amp;D16&amp;D15&amp;D14&amp;D13&amp;D12)</f>
        <v>49</v>
      </c>
      <c r="M12" s="12" t="str">
        <f t="shared" ref="M12" si="34">BIN2HEX(E19&amp;E18&amp;E17&amp;E16&amp;E15&amp;E14&amp;E13&amp;E12)</f>
        <v>49</v>
      </c>
      <c r="N12" s="12" t="str">
        <f t="shared" ref="N12" si="35">BIN2HEX(F19&amp;F18&amp;F17&amp;F16&amp;F15&amp;F14&amp;F13&amp;F12)</f>
        <v>36</v>
      </c>
      <c r="O12" s="12" t="str">
        <f t="shared" ref="O12" si="36">BIN2HEX(G19&amp;G18&amp;G17&amp;G16&amp;G15&amp;G14&amp;G13&amp;G12)</f>
        <v>0</v>
      </c>
      <c r="P12" s="12" t="str">
        <f>BIN2HEX(H19&amp;H18&amp;H17&amp;H16&amp;H15&amp;H14&amp;H13&amp;H12)</f>
        <v>0</v>
      </c>
      <c r="Q12" s="11">
        <v>0</v>
      </c>
      <c r="R12" s="11">
        <v>0</v>
      </c>
      <c r="S12" s="11">
        <v>0</v>
      </c>
      <c r="T12" s="11">
        <v>1</v>
      </c>
      <c r="U12" s="11">
        <v>1</v>
      </c>
      <c r="V12" s="11">
        <v>1</v>
      </c>
      <c r="W12" s="11">
        <v>0</v>
      </c>
      <c r="X12" s="11">
        <v>0</v>
      </c>
      <c r="Y12" s="12" t="str">
        <f>BIN2HEX(Q19&amp;Q18&amp;Q17&amp;Q16&amp;Q15&amp;Q14&amp;Q13&amp;Q12)</f>
        <v>0</v>
      </c>
      <c r="Z12" s="12" t="str">
        <f t="shared" ref="Z12" si="37">BIN2HEX(R19&amp;R18&amp;R17&amp;R16&amp;R15&amp;R14&amp;R13&amp;R12)</f>
        <v>0</v>
      </c>
      <c r="AA12" s="12" t="str">
        <f t="shared" ref="AA12" si="38">BIN2HEX(S19&amp;S18&amp;S17&amp;S16&amp;S15&amp;S14&amp;S13&amp;S12)</f>
        <v>7E</v>
      </c>
      <c r="AB12" s="12" t="str">
        <f t="shared" ref="AB12" si="39">BIN2HEX(T19&amp;T18&amp;T17&amp;T16&amp;T15&amp;T14&amp;T13&amp;T12)</f>
        <v>1</v>
      </c>
      <c r="AC12" s="12" t="str">
        <f t="shared" ref="AC12" si="40">BIN2HEX(U19&amp;U18&amp;U17&amp;U16&amp;U15&amp;U14&amp;U13&amp;U12)</f>
        <v>1</v>
      </c>
      <c r="AD12" s="12" t="str">
        <f t="shared" ref="AD12" si="41">BIN2HEX(V19&amp;V18&amp;V17&amp;V16&amp;V15&amp;V14&amp;V13&amp;V12)</f>
        <v>1</v>
      </c>
      <c r="AE12" s="12" t="str">
        <f t="shared" ref="AE12" si="42">BIN2HEX(W19&amp;W18&amp;W17&amp;W16&amp;W15&amp;W14&amp;W13&amp;W12)</f>
        <v>0</v>
      </c>
      <c r="AF12" s="13" t="str">
        <f>BIN2HEX(X19&amp;X18&amp;X17&amp;X16&amp;X15&amp;X14&amp;X13&amp;X12)</f>
        <v>0</v>
      </c>
      <c r="AG12" s="11">
        <v>0</v>
      </c>
      <c r="AH12" s="11">
        <v>0</v>
      </c>
      <c r="AI12" s="11">
        <v>0</v>
      </c>
      <c r="AJ12" s="11">
        <v>1</v>
      </c>
      <c r="AK12" s="11">
        <v>1</v>
      </c>
      <c r="AL12" s="11">
        <v>1</v>
      </c>
      <c r="AM12" s="11">
        <v>0</v>
      </c>
      <c r="AN12" s="11">
        <v>0</v>
      </c>
      <c r="AO12" s="12" t="str">
        <f>BIN2HEX(AG19&amp;AG18&amp;AG17&amp;AG16&amp;AG15&amp;AG14&amp;AG13&amp;AG12)</f>
        <v>0</v>
      </c>
      <c r="AP12" s="12" t="str">
        <f t="shared" ref="AP12" si="43">BIN2HEX(AH19&amp;AH18&amp;AH17&amp;AH16&amp;AH15&amp;AH14&amp;AH13&amp;AH12)</f>
        <v>60</v>
      </c>
      <c r="AQ12" s="12" t="str">
        <f t="shared" ref="AQ12" si="44">BIN2HEX(AI19&amp;AI18&amp;AI17&amp;AI16&amp;AI15&amp;AI14&amp;AI13&amp;AI12)</f>
        <v>3E</v>
      </c>
      <c r="AR12" s="12" t="str">
        <f t="shared" ref="AR12" si="45">BIN2HEX(AJ19&amp;AJ18&amp;AJ17&amp;AJ16&amp;AJ15&amp;AJ14&amp;AJ13&amp;AJ12)</f>
        <v>21</v>
      </c>
      <c r="AS12" s="12" t="str">
        <f t="shared" ref="AS12" si="46">BIN2HEX(AK19&amp;AK18&amp;AK17&amp;AK16&amp;AK15&amp;AK14&amp;AK13&amp;AK12)</f>
        <v>21</v>
      </c>
      <c r="AT12" s="12" t="str">
        <f t="shared" ref="AT12" si="47">BIN2HEX(AL19&amp;AL18&amp;AL17&amp;AL16&amp;AL15&amp;AL14&amp;AL13&amp;AL12)</f>
        <v>7F</v>
      </c>
      <c r="AU12" s="12" t="str">
        <f t="shared" ref="AU12" si="48">BIN2HEX(AM19&amp;AM18&amp;AM17&amp;AM16&amp;AM15&amp;AM14&amp;AM13&amp;AM12)</f>
        <v>0</v>
      </c>
      <c r="AV12" s="12" t="str">
        <f>BIN2HEX(AN19&amp;AN18&amp;AN17&amp;AN16&amp;AN15&amp;AN14&amp;AN13&amp;AN12)</f>
        <v>0</v>
      </c>
      <c r="AW12" s="11">
        <v>0</v>
      </c>
      <c r="AX12" s="11">
        <v>0</v>
      </c>
      <c r="AY12" s="11">
        <v>1</v>
      </c>
      <c r="AZ12" s="11">
        <v>1</v>
      </c>
      <c r="BA12" s="11">
        <v>1</v>
      </c>
      <c r="BB12" s="11">
        <v>0</v>
      </c>
      <c r="BC12" s="11">
        <v>0</v>
      </c>
      <c r="BD12" s="11">
        <v>0</v>
      </c>
      <c r="BE12" s="12" t="str">
        <f>BIN2HEX(AW19&amp;AW18&amp;AW17&amp;AW16&amp;AW15&amp;AW14&amp;AW13&amp;AW12)</f>
        <v>0</v>
      </c>
      <c r="BF12" s="12" t="str">
        <f t="shared" ref="BF12" si="49">BIN2HEX(AX19&amp;AX18&amp;AX17&amp;AX16&amp;AX15&amp;AX14&amp;AX13&amp;AX12)</f>
        <v>3E</v>
      </c>
      <c r="BG12" s="12" t="str">
        <f t="shared" ref="BG12" si="50">BIN2HEX(AY19&amp;AY18&amp;AY17&amp;AY16&amp;AY15&amp;AY14&amp;AY13&amp;AY12)</f>
        <v>49</v>
      </c>
      <c r="BH12" s="12" t="str">
        <f t="shared" ref="BH12" si="51">BIN2HEX(AZ19&amp;AZ18&amp;AZ17&amp;AZ16&amp;AZ15&amp;AZ14&amp;AZ13&amp;AZ12)</f>
        <v>49</v>
      </c>
      <c r="BI12" s="12" t="str">
        <f t="shared" ref="BI12" si="52">BIN2HEX(BA19&amp;BA18&amp;BA17&amp;BA16&amp;BA15&amp;BA14&amp;BA13&amp;BA12)</f>
        <v>49</v>
      </c>
      <c r="BJ12" s="12" t="str">
        <f t="shared" ref="BJ12" si="53">BIN2HEX(BB19&amp;BB18&amp;BB17&amp;BB16&amp;BB15&amp;BB14&amp;BB13&amp;BB12)</f>
        <v>26</v>
      </c>
      <c r="BK12" s="12" t="str">
        <f t="shared" ref="BK12" si="54">BIN2HEX(BC19&amp;BC18&amp;BC17&amp;BC16&amp;BC15&amp;BC14&amp;BC13&amp;BC12)</f>
        <v>0</v>
      </c>
      <c r="BL12" s="12" t="str">
        <f>BIN2HEX(BD19&amp;BD18&amp;BD17&amp;BD16&amp;BD15&amp;BD14&amp;BD13&amp;BD12)</f>
        <v>0</v>
      </c>
      <c r="BO12" s="25">
        <v>0</v>
      </c>
      <c r="BP12" s="11">
        <v>0</v>
      </c>
      <c r="BQ12" s="11">
        <v>0</v>
      </c>
      <c r="BR12" s="11">
        <v>1</v>
      </c>
      <c r="BS12" s="11">
        <v>1</v>
      </c>
      <c r="BT12" s="11">
        <v>1</v>
      </c>
      <c r="BU12" s="11">
        <v>0</v>
      </c>
      <c r="BV12" s="11">
        <v>0</v>
      </c>
      <c r="BW12" s="12" t="str">
        <f>BIN2HEX(BO19&amp;BO18&amp;BO17&amp;BO16&amp;BO15&amp;BO14&amp;BO13&amp;BO12)</f>
        <v>0</v>
      </c>
      <c r="BX12" s="12" t="str">
        <f t="shared" ref="BX12" si="55">BIN2HEX(BP19&amp;BP18&amp;BP17&amp;BP16&amp;BP15&amp;BP14&amp;BP13&amp;BP12)</f>
        <v>0</v>
      </c>
      <c r="BY12" s="12" t="str">
        <f t="shared" ref="BY12" si="56">BIN2HEX(BQ19&amp;BQ18&amp;BQ17&amp;BQ16&amp;BQ15&amp;BQ14&amp;BQ13&amp;BQ12)</f>
        <v>3E</v>
      </c>
      <c r="BZ12" s="12" t="str">
        <f t="shared" ref="BZ12" si="57">BIN2HEX(BR19&amp;BR18&amp;BR17&amp;BR16&amp;BR15&amp;BR14&amp;BR13&amp;BR12)</f>
        <v>41</v>
      </c>
      <c r="CA12" s="12" t="str">
        <f t="shared" ref="CA12" si="58">BIN2HEX(BS19&amp;BS18&amp;BS17&amp;BS16&amp;BS15&amp;BS14&amp;BS13&amp;BS12)</f>
        <v>41</v>
      </c>
      <c r="CB12" s="12" t="str">
        <f t="shared" ref="CB12" si="59">BIN2HEX(BT19&amp;BT18&amp;BT17&amp;BT16&amp;BT15&amp;BT14&amp;BT13&amp;BT12)</f>
        <v>41</v>
      </c>
      <c r="CC12" s="12" t="str">
        <f t="shared" ref="CC12" si="60">BIN2HEX(BU19&amp;BU18&amp;BU17&amp;BU16&amp;BU15&amp;BU14&amp;BU13&amp;BU12)</f>
        <v>0</v>
      </c>
      <c r="CD12" s="13" t="str">
        <f>BIN2HEX(BV19&amp;BV18&amp;BV17&amp;BV16&amp;BV15&amp;BV14&amp;BV13&amp;BV12)</f>
        <v>0</v>
      </c>
      <c r="CE12" s="11">
        <v>0</v>
      </c>
      <c r="CF12" s="11">
        <v>0</v>
      </c>
      <c r="CG12" s="11">
        <v>1</v>
      </c>
      <c r="CH12" s="11">
        <v>1</v>
      </c>
      <c r="CI12" s="11">
        <v>1</v>
      </c>
      <c r="CJ12" s="11">
        <v>0</v>
      </c>
      <c r="CK12" s="11">
        <v>0</v>
      </c>
      <c r="CL12" s="11">
        <v>0</v>
      </c>
      <c r="CM12" s="12" t="str">
        <f>BIN2HEX(CE19&amp;CE18&amp;CE17&amp;CE16&amp;CE15&amp;CE14&amp;CE13&amp;CE12)</f>
        <v>0</v>
      </c>
      <c r="CN12" s="12" t="str">
        <f t="shared" ref="CN12" si="61">BIN2HEX(CF19&amp;CF18&amp;CF17&amp;CF16&amp;CF15&amp;CF14&amp;CF13&amp;CF12)</f>
        <v>0</v>
      </c>
      <c r="CO12" s="12" t="str">
        <f t="shared" ref="CO12" si="62">BIN2HEX(CG19&amp;CG18&amp;CG17&amp;CG16&amp;CG15&amp;CG14&amp;CG13&amp;CG12)</f>
        <v>7F</v>
      </c>
      <c r="CP12" s="12" t="str">
        <f t="shared" ref="CP12" si="63">BIN2HEX(CH19&amp;CH18&amp;CH17&amp;CH16&amp;CH15&amp;CH14&amp;CH13&amp;CH12)</f>
        <v>41</v>
      </c>
      <c r="CQ12" s="12" t="str">
        <f t="shared" ref="CQ12" si="64">BIN2HEX(CI19&amp;CI18&amp;CI17&amp;CI16&amp;CI15&amp;CI14&amp;CI13&amp;CI12)</f>
        <v>41</v>
      </c>
      <c r="CR12" s="12" t="str">
        <f t="shared" ref="CR12" si="65">BIN2HEX(CJ19&amp;CJ18&amp;CJ17&amp;CJ16&amp;CJ15&amp;CJ14&amp;CJ13&amp;CJ12)</f>
        <v>3E</v>
      </c>
      <c r="CS12" s="12" t="str">
        <f t="shared" ref="CS12" si="66">BIN2HEX(CK19&amp;CK18&amp;CK17&amp;CK16&amp;CK15&amp;CK14&amp;CK13&amp;CK12)</f>
        <v>0</v>
      </c>
      <c r="CT12" s="12" t="str">
        <f>BIN2HEX(CL19&amp;CL18&amp;CL17&amp;CL16&amp;CL15&amp;CL14&amp;CL13&amp;CL12)</f>
        <v>0</v>
      </c>
    </row>
    <row r="13" spans="1:98" ht="15" customHeight="1" x14ac:dyDescent="0.25">
      <c r="A13" s="14">
        <v>0</v>
      </c>
      <c r="B13" s="14">
        <v>0</v>
      </c>
      <c r="C13" s="14">
        <v>1</v>
      </c>
      <c r="D13" s="14">
        <v>0</v>
      </c>
      <c r="E13" s="14">
        <v>0</v>
      </c>
      <c r="F13" s="14">
        <v>1</v>
      </c>
      <c r="G13" s="14">
        <v>0</v>
      </c>
      <c r="H13" s="14">
        <v>0</v>
      </c>
      <c r="I13" s="36" t="str">
        <f>"0x"&amp;I12&amp;", 0x"&amp;J12&amp;", 0x"&amp;K12&amp;", 0x"&amp;L12&amp;", 0x"&amp;M12&amp;", 0x"&amp;N12&amp;", 0x"&amp;O12&amp;", 0x"&amp;P12</f>
        <v>0x0, 0x0, 0x7F, 0x49, 0x49, 0x36, 0x0, 0x0</v>
      </c>
      <c r="J13" s="34"/>
      <c r="K13" s="34"/>
      <c r="L13" s="34"/>
      <c r="M13" s="34"/>
      <c r="N13" s="34"/>
      <c r="O13" s="34"/>
      <c r="P13" s="34"/>
      <c r="Q13" s="14">
        <v>0</v>
      </c>
      <c r="R13" s="14">
        <v>0</v>
      </c>
      <c r="S13" s="14">
        <v>1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36" t="str">
        <f>"0x"&amp;Y12&amp;", 0x"&amp;Z12&amp;", 0x"&amp;AA12&amp;", 0x"&amp;AB12&amp;", 0x"&amp;AC12&amp;", 0x"&amp;AD12&amp;", 0x"&amp;AE12&amp;", 0x"&amp;AF12</f>
        <v>0x0, 0x0, 0x7E, 0x1, 0x1, 0x1, 0x0, 0x0</v>
      </c>
      <c r="Z13" s="34"/>
      <c r="AA13" s="34"/>
      <c r="AB13" s="34"/>
      <c r="AC13" s="34"/>
      <c r="AD13" s="34"/>
      <c r="AE13" s="34"/>
      <c r="AF13" s="37"/>
      <c r="AG13" s="14">
        <v>0</v>
      </c>
      <c r="AH13" s="14">
        <v>0</v>
      </c>
      <c r="AI13" s="14">
        <v>1</v>
      </c>
      <c r="AJ13" s="14">
        <v>0</v>
      </c>
      <c r="AK13" s="14">
        <v>0</v>
      </c>
      <c r="AL13" s="14">
        <v>1</v>
      </c>
      <c r="AM13" s="14">
        <v>0</v>
      </c>
      <c r="AN13" s="14">
        <v>0</v>
      </c>
      <c r="AO13" s="36" t="str">
        <f>"0x"&amp;AO12&amp;", 0x"&amp;AP12&amp;", 0x"&amp;AQ12&amp;", 0x"&amp;AR12&amp;", 0x"&amp;AS12&amp;", 0x"&amp;AT12&amp;", 0x"&amp;AU12&amp;", 0x"&amp;AV12</f>
        <v>0x0, 0x60, 0x3E, 0x21, 0x21, 0x7F, 0x0, 0x0</v>
      </c>
      <c r="AP13" s="34"/>
      <c r="AQ13" s="34"/>
      <c r="AR13" s="34"/>
      <c r="AS13" s="34"/>
      <c r="AT13" s="34"/>
      <c r="AU13" s="34"/>
      <c r="AV13" s="34"/>
      <c r="AW13" s="14">
        <v>0</v>
      </c>
      <c r="AX13" s="14">
        <v>1</v>
      </c>
      <c r="AY13" s="14">
        <v>0</v>
      </c>
      <c r="AZ13" s="14">
        <v>0</v>
      </c>
      <c r="BA13" s="14">
        <v>0</v>
      </c>
      <c r="BB13" s="14">
        <v>1</v>
      </c>
      <c r="BC13" s="14">
        <v>0</v>
      </c>
      <c r="BD13" s="14">
        <v>0</v>
      </c>
      <c r="BE13" s="36" t="str">
        <f>"0x"&amp;BE12&amp;", 0x"&amp;BF12&amp;", 0x"&amp;BG12&amp;", 0x"&amp;BH12&amp;", 0x"&amp;BI12&amp;", 0x"&amp;BJ12&amp;", 0x"&amp;BK12&amp;", 0x"&amp;BL12</f>
        <v>0x0, 0x3E, 0x49, 0x49, 0x49, 0x26, 0x0, 0x0</v>
      </c>
      <c r="BF13" s="34"/>
      <c r="BG13" s="34"/>
      <c r="BH13" s="34"/>
      <c r="BI13" s="34"/>
      <c r="BJ13" s="34"/>
      <c r="BK13" s="34"/>
      <c r="BL13" s="37"/>
      <c r="BO13" s="26">
        <v>0</v>
      </c>
      <c r="BP13" s="11">
        <v>0</v>
      </c>
      <c r="BQ13" s="14">
        <v>1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36" t="str">
        <f>"0x"&amp;BW12&amp;", 0x"&amp;BX12&amp;", 0x"&amp;BY12&amp;", 0x"&amp;BZ12&amp;", 0x"&amp;CA12&amp;", 0x"&amp;CB12&amp;", 0x"&amp;CC12&amp;", 0x"&amp;CD12</f>
        <v>0x0, 0x0, 0x3E, 0x41, 0x41, 0x41, 0x0, 0x0</v>
      </c>
      <c r="BX13" s="34"/>
      <c r="BY13" s="34"/>
      <c r="BZ13" s="34"/>
      <c r="CA13" s="34"/>
      <c r="CB13" s="34"/>
      <c r="CC13" s="34"/>
      <c r="CD13" s="37"/>
      <c r="CE13" s="14">
        <v>0</v>
      </c>
      <c r="CF13" s="14">
        <v>0</v>
      </c>
      <c r="CG13" s="14">
        <v>1</v>
      </c>
      <c r="CH13" s="14">
        <v>0</v>
      </c>
      <c r="CI13" s="14">
        <v>0</v>
      </c>
      <c r="CJ13" s="14">
        <v>1</v>
      </c>
      <c r="CK13" s="14">
        <v>0</v>
      </c>
      <c r="CL13" s="14">
        <v>0</v>
      </c>
      <c r="CM13" s="36" t="str">
        <f>"0x"&amp;CM12&amp;", 0x"&amp;CN12&amp;", 0x"&amp;CO12&amp;", 0x"&amp;CP12&amp;", 0x"&amp;CQ12&amp;", 0x"&amp;CR12&amp;", 0x"&amp;CS12&amp;", 0x"&amp;CT12</f>
        <v>0x0, 0x0, 0x7F, 0x41, 0x41, 0x3E, 0x0, 0x0</v>
      </c>
      <c r="CN13" s="34"/>
      <c r="CO13" s="34"/>
      <c r="CP13" s="34"/>
      <c r="CQ13" s="34"/>
      <c r="CR13" s="34"/>
      <c r="CS13" s="34"/>
      <c r="CT13" s="34"/>
    </row>
    <row r="14" spans="1:98" ht="15" customHeight="1" x14ac:dyDescent="0.25">
      <c r="A14" s="14">
        <v>0</v>
      </c>
      <c r="B14" s="14">
        <v>0</v>
      </c>
      <c r="C14" s="14">
        <v>1</v>
      </c>
      <c r="D14" s="14">
        <v>0</v>
      </c>
      <c r="E14" s="14">
        <v>0</v>
      </c>
      <c r="F14" s="14">
        <v>1</v>
      </c>
      <c r="G14" s="14">
        <v>0</v>
      </c>
      <c r="H14" s="14">
        <v>0</v>
      </c>
      <c r="I14" s="36"/>
      <c r="J14" s="34"/>
      <c r="K14" s="34"/>
      <c r="L14" s="34"/>
      <c r="M14" s="34"/>
      <c r="N14" s="34"/>
      <c r="O14" s="34"/>
      <c r="P14" s="34"/>
      <c r="Q14" s="14">
        <v>0</v>
      </c>
      <c r="R14" s="14">
        <v>0</v>
      </c>
      <c r="S14" s="14">
        <v>1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36"/>
      <c r="Z14" s="34"/>
      <c r="AA14" s="34"/>
      <c r="AB14" s="34"/>
      <c r="AC14" s="34"/>
      <c r="AD14" s="34"/>
      <c r="AE14" s="34"/>
      <c r="AF14" s="37"/>
      <c r="AG14" s="14">
        <v>0</v>
      </c>
      <c r="AH14" s="14">
        <v>0</v>
      </c>
      <c r="AI14" s="14">
        <v>1</v>
      </c>
      <c r="AJ14" s="14">
        <v>0</v>
      </c>
      <c r="AK14" s="14">
        <v>0</v>
      </c>
      <c r="AL14" s="14">
        <v>1</v>
      </c>
      <c r="AM14" s="14">
        <v>0</v>
      </c>
      <c r="AN14" s="14">
        <v>0</v>
      </c>
      <c r="AO14" s="36"/>
      <c r="AP14" s="34"/>
      <c r="AQ14" s="34"/>
      <c r="AR14" s="34"/>
      <c r="AS14" s="34"/>
      <c r="AT14" s="34"/>
      <c r="AU14" s="34"/>
      <c r="AV14" s="34"/>
      <c r="AW14" s="14">
        <v>0</v>
      </c>
      <c r="AX14" s="14">
        <v>1</v>
      </c>
      <c r="AY14" s="14">
        <v>0</v>
      </c>
      <c r="AZ14" s="14">
        <v>0</v>
      </c>
      <c r="BA14" s="14">
        <v>0</v>
      </c>
      <c r="BB14" s="14">
        <v>1</v>
      </c>
      <c r="BC14" s="14">
        <v>0</v>
      </c>
      <c r="BD14" s="14">
        <v>0</v>
      </c>
      <c r="BE14" s="36"/>
      <c r="BF14" s="34"/>
      <c r="BG14" s="34"/>
      <c r="BH14" s="34"/>
      <c r="BI14" s="34"/>
      <c r="BJ14" s="34"/>
      <c r="BK14" s="34"/>
      <c r="BL14" s="37"/>
      <c r="BO14" s="26">
        <v>0</v>
      </c>
      <c r="BP14" s="11">
        <v>0</v>
      </c>
      <c r="BQ14" s="14">
        <v>1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36"/>
      <c r="BX14" s="34"/>
      <c r="BY14" s="34"/>
      <c r="BZ14" s="34"/>
      <c r="CA14" s="34"/>
      <c r="CB14" s="34"/>
      <c r="CC14" s="34"/>
      <c r="CD14" s="37"/>
      <c r="CE14" s="14">
        <v>0</v>
      </c>
      <c r="CF14" s="14">
        <v>0</v>
      </c>
      <c r="CG14" s="14">
        <v>1</v>
      </c>
      <c r="CH14" s="14">
        <v>0</v>
      </c>
      <c r="CI14" s="14">
        <v>0</v>
      </c>
      <c r="CJ14" s="14">
        <v>1</v>
      </c>
      <c r="CK14" s="14">
        <v>0</v>
      </c>
      <c r="CL14" s="14">
        <v>0</v>
      </c>
      <c r="CM14" s="36"/>
      <c r="CN14" s="34"/>
      <c r="CO14" s="34"/>
      <c r="CP14" s="34"/>
      <c r="CQ14" s="34"/>
      <c r="CR14" s="34"/>
      <c r="CS14" s="34"/>
      <c r="CT14" s="34"/>
    </row>
    <row r="15" spans="1:98" x14ac:dyDescent="0.25">
      <c r="A15" s="14">
        <v>0</v>
      </c>
      <c r="B15" s="14">
        <v>0</v>
      </c>
      <c r="C15" s="14">
        <v>1</v>
      </c>
      <c r="D15" s="14">
        <v>1</v>
      </c>
      <c r="E15" s="14">
        <v>1</v>
      </c>
      <c r="F15" s="14">
        <v>0</v>
      </c>
      <c r="G15" s="14">
        <v>0</v>
      </c>
      <c r="H15" s="14">
        <v>0</v>
      </c>
      <c r="I15" s="40" t="s">
        <v>3</v>
      </c>
      <c r="J15" s="41"/>
      <c r="K15" s="41"/>
      <c r="L15" s="41"/>
      <c r="M15" s="41"/>
      <c r="N15" s="41"/>
      <c r="O15" s="41"/>
      <c r="P15" s="42"/>
      <c r="Q15" s="14">
        <v>0</v>
      </c>
      <c r="R15" s="14">
        <v>0</v>
      </c>
      <c r="S15" s="14">
        <v>1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40" t="s">
        <v>4</v>
      </c>
      <c r="Z15" s="41"/>
      <c r="AA15" s="41"/>
      <c r="AB15" s="41"/>
      <c r="AC15" s="41"/>
      <c r="AD15" s="41"/>
      <c r="AE15" s="41"/>
      <c r="AF15" s="43"/>
      <c r="AG15" s="14">
        <v>0</v>
      </c>
      <c r="AH15" s="14">
        <v>0</v>
      </c>
      <c r="AI15" s="14">
        <v>1</v>
      </c>
      <c r="AJ15" s="14">
        <v>0</v>
      </c>
      <c r="AK15" s="14">
        <v>0</v>
      </c>
      <c r="AL15" s="14">
        <v>1</v>
      </c>
      <c r="AM15" s="14">
        <v>0</v>
      </c>
      <c r="AN15" s="14">
        <v>0</v>
      </c>
      <c r="AO15" s="40" t="s">
        <v>5</v>
      </c>
      <c r="AP15" s="41"/>
      <c r="AQ15" s="41"/>
      <c r="AR15" s="41"/>
      <c r="AS15" s="41"/>
      <c r="AT15" s="41"/>
      <c r="AU15" s="41"/>
      <c r="AV15" s="42"/>
      <c r="AW15" s="14">
        <v>0</v>
      </c>
      <c r="AX15" s="14">
        <v>1</v>
      </c>
      <c r="AY15" s="14">
        <v>1</v>
      </c>
      <c r="AZ15" s="14">
        <v>1</v>
      </c>
      <c r="BA15" s="14">
        <v>1</v>
      </c>
      <c r="BB15" s="14">
        <v>0</v>
      </c>
      <c r="BC15" s="14">
        <v>0</v>
      </c>
      <c r="BD15" s="14">
        <v>0</v>
      </c>
      <c r="BE15" s="40" t="s">
        <v>6</v>
      </c>
      <c r="BF15" s="41"/>
      <c r="BG15" s="41"/>
      <c r="BH15" s="41"/>
      <c r="BI15" s="41"/>
      <c r="BJ15" s="41"/>
      <c r="BK15" s="41"/>
      <c r="BL15" s="43"/>
      <c r="BO15" s="26">
        <v>0</v>
      </c>
      <c r="BP15" s="11">
        <v>0</v>
      </c>
      <c r="BQ15" s="14">
        <v>1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40" t="s">
        <v>55</v>
      </c>
      <c r="BX15" s="41"/>
      <c r="BY15" s="41"/>
      <c r="BZ15" s="41"/>
      <c r="CA15" s="41"/>
      <c r="CB15" s="41"/>
      <c r="CC15" s="41"/>
      <c r="CD15" s="43"/>
      <c r="CE15" s="14">
        <v>0</v>
      </c>
      <c r="CF15" s="14">
        <v>0</v>
      </c>
      <c r="CG15" s="14">
        <v>1</v>
      </c>
      <c r="CH15" s="14">
        <v>0</v>
      </c>
      <c r="CI15" s="14">
        <v>0</v>
      </c>
      <c r="CJ15" s="14">
        <v>1</v>
      </c>
      <c r="CK15" s="14">
        <v>0</v>
      </c>
      <c r="CL15" s="14">
        <v>0</v>
      </c>
      <c r="CM15" s="40" t="s">
        <v>54</v>
      </c>
      <c r="CN15" s="41"/>
      <c r="CO15" s="41"/>
      <c r="CP15" s="41"/>
      <c r="CQ15" s="41"/>
      <c r="CR15" s="41"/>
      <c r="CS15" s="41"/>
      <c r="CT15" s="42"/>
    </row>
    <row r="16" spans="1:98" ht="15" customHeight="1" x14ac:dyDescent="0.25">
      <c r="A16" s="14">
        <v>0</v>
      </c>
      <c r="B16" s="14">
        <v>0</v>
      </c>
      <c r="C16" s="14">
        <v>1</v>
      </c>
      <c r="D16" s="14">
        <v>0</v>
      </c>
      <c r="E16" s="14">
        <v>0</v>
      </c>
      <c r="F16" s="14">
        <v>1</v>
      </c>
      <c r="G16" s="14">
        <v>0</v>
      </c>
      <c r="H16" s="14">
        <v>0</v>
      </c>
      <c r="I16" s="33" t="str">
        <f>"{{"&amp;I13&amp;"}"&amp;", "&amp;$I$1&amp;"},  //"&amp;I15&amp;":"&amp;M11&amp;":"&amp;O11</f>
        <v>{{0x0, 0x0, 0x7F, 0x49, 0x49, 0x36, 0x0, 0x0}, 8},  //В:208:146</v>
      </c>
      <c r="J16" s="34"/>
      <c r="K16" s="34"/>
      <c r="L16" s="34"/>
      <c r="M16" s="34"/>
      <c r="N16" s="34"/>
      <c r="O16" s="34"/>
      <c r="P16" s="35"/>
      <c r="Q16" s="14">
        <v>0</v>
      </c>
      <c r="R16" s="14">
        <v>0</v>
      </c>
      <c r="S16" s="14">
        <v>1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33" t="str">
        <f>"{{"&amp;Y13&amp;"}"&amp;", "&amp;$I$1&amp;"},  //"&amp;Y15&amp;":"&amp;AC11&amp;":"&amp;AE11</f>
        <v>{{0x0, 0x0, 0x7E, 0x1, 0x1, 0x1, 0x0, 0x0}, 8},  //Г:208:147</v>
      </c>
      <c r="Z16" s="34"/>
      <c r="AA16" s="34"/>
      <c r="AB16" s="34"/>
      <c r="AC16" s="34"/>
      <c r="AD16" s="34"/>
      <c r="AE16" s="34"/>
      <c r="AF16" s="35"/>
      <c r="AG16" s="14">
        <v>0</v>
      </c>
      <c r="AH16" s="14">
        <v>0</v>
      </c>
      <c r="AI16" s="14">
        <v>1</v>
      </c>
      <c r="AJ16" s="14">
        <v>0</v>
      </c>
      <c r="AK16" s="14">
        <v>0</v>
      </c>
      <c r="AL16" s="14">
        <v>1</v>
      </c>
      <c r="AM16" s="14">
        <v>0</v>
      </c>
      <c r="AN16" s="14">
        <v>0</v>
      </c>
      <c r="AO16" s="33" t="str">
        <f>"{{"&amp;AO13&amp;"}"&amp;", "&amp;$I$1&amp;"},  //"&amp;AO15&amp;":"&amp;AS11&amp;":"&amp;AU11</f>
        <v>{{0x0, 0x60, 0x3E, 0x21, 0x21, 0x7F, 0x0, 0x0}, 8},  //Д:208:148</v>
      </c>
      <c r="AP16" s="34"/>
      <c r="AQ16" s="34"/>
      <c r="AR16" s="34"/>
      <c r="AS16" s="34"/>
      <c r="AT16" s="34"/>
      <c r="AU16" s="34"/>
      <c r="AV16" s="35"/>
      <c r="AW16" s="14">
        <v>0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33" t="str">
        <f>"{{"&amp;BE13&amp;"}"&amp;", "&amp;$I$1&amp;"},  //"&amp;BE15&amp;":"&amp;BI11&amp;":"&amp;BK11</f>
        <v>{{0x0, 0x3E, 0x49, 0x49, 0x49, 0x26, 0x0, 0x0}, 8},  //Е:208:149</v>
      </c>
      <c r="BF16" s="34"/>
      <c r="BG16" s="34"/>
      <c r="BH16" s="34"/>
      <c r="BI16" s="34"/>
      <c r="BJ16" s="34"/>
      <c r="BK16" s="34"/>
      <c r="BL16" s="35"/>
      <c r="BO16" s="26">
        <v>0</v>
      </c>
      <c r="BP16" s="11">
        <v>0</v>
      </c>
      <c r="BQ16" s="14">
        <v>1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33" t="str">
        <f>"{{"&amp;BW13&amp;"}"&amp;", "&amp;$I$1&amp;"},  //"&amp;BW15&amp;":"&amp;CA11&amp;":"&amp;CC11</f>
        <v>{{0x0, 0x0, 0x3E, 0x41, 0x41, 0x41, 0x0, 0x0}, 8},  //C:0:67</v>
      </c>
      <c r="BX16" s="34"/>
      <c r="BY16" s="34"/>
      <c r="BZ16" s="34"/>
      <c r="CA16" s="34"/>
      <c r="CB16" s="34"/>
      <c r="CC16" s="34"/>
      <c r="CD16" s="35"/>
      <c r="CE16" s="14">
        <v>0</v>
      </c>
      <c r="CF16" s="14">
        <v>0</v>
      </c>
      <c r="CG16" s="14">
        <v>1</v>
      </c>
      <c r="CH16" s="14">
        <v>0</v>
      </c>
      <c r="CI16" s="14">
        <v>0</v>
      </c>
      <c r="CJ16" s="14">
        <v>1</v>
      </c>
      <c r="CK16" s="14">
        <v>0</v>
      </c>
      <c r="CL16" s="14">
        <v>0</v>
      </c>
      <c r="CM16" s="33" t="str">
        <f>"{{"&amp;CM13&amp;"}"&amp;", "&amp;$I$1&amp;"},  //"&amp;CM15&amp;":"&amp;CQ11&amp;":"&amp;CS11</f>
        <v>{{0x0, 0x0, 0x7F, 0x41, 0x41, 0x3E, 0x0, 0x0}, 8},  //D:0:68</v>
      </c>
      <c r="CN16" s="34"/>
      <c r="CO16" s="34"/>
      <c r="CP16" s="34"/>
      <c r="CQ16" s="34"/>
      <c r="CR16" s="34"/>
      <c r="CS16" s="34"/>
      <c r="CT16" s="35"/>
    </row>
    <row r="17" spans="1:98" ht="15" customHeight="1" x14ac:dyDescent="0.25">
      <c r="A17" s="14">
        <v>0</v>
      </c>
      <c r="B17" s="14">
        <v>0</v>
      </c>
      <c r="C17" s="14">
        <v>1</v>
      </c>
      <c r="D17" s="14">
        <v>0</v>
      </c>
      <c r="E17" s="14">
        <v>0</v>
      </c>
      <c r="F17" s="14">
        <v>1</v>
      </c>
      <c r="G17" s="14">
        <v>0</v>
      </c>
      <c r="H17" s="14">
        <v>0</v>
      </c>
      <c r="I17" s="33"/>
      <c r="J17" s="34"/>
      <c r="K17" s="34"/>
      <c r="L17" s="34"/>
      <c r="M17" s="34"/>
      <c r="N17" s="34"/>
      <c r="O17" s="34"/>
      <c r="P17" s="35"/>
      <c r="Q17" s="14">
        <v>0</v>
      </c>
      <c r="R17" s="14">
        <v>0</v>
      </c>
      <c r="S17" s="14">
        <v>1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33"/>
      <c r="Z17" s="34"/>
      <c r="AA17" s="34"/>
      <c r="AB17" s="34"/>
      <c r="AC17" s="34"/>
      <c r="AD17" s="34"/>
      <c r="AE17" s="34"/>
      <c r="AF17" s="35"/>
      <c r="AG17" s="14">
        <v>0</v>
      </c>
      <c r="AH17" s="14">
        <v>1</v>
      </c>
      <c r="AI17" s="14">
        <v>1</v>
      </c>
      <c r="AJ17" s="14">
        <v>1</v>
      </c>
      <c r="AK17" s="14">
        <v>1</v>
      </c>
      <c r="AL17" s="14">
        <v>1</v>
      </c>
      <c r="AM17" s="14">
        <v>0</v>
      </c>
      <c r="AN17" s="14">
        <v>0</v>
      </c>
      <c r="AO17" s="33"/>
      <c r="AP17" s="34"/>
      <c r="AQ17" s="34"/>
      <c r="AR17" s="34"/>
      <c r="AS17" s="34"/>
      <c r="AT17" s="34"/>
      <c r="AU17" s="34"/>
      <c r="AV17" s="35"/>
      <c r="AW17" s="14">
        <v>0</v>
      </c>
      <c r="AX17" s="14">
        <v>1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33"/>
      <c r="BF17" s="34"/>
      <c r="BG17" s="34"/>
      <c r="BH17" s="34"/>
      <c r="BI17" s="34"/>
      <c r="BJ17" s="34"/>
      <c r="BK17" s="34"/>
      <c r="BL17" s="35"/>
      <c r="BO17" s="26">
        <v>0</v>
      </c>
      <c r="BP17" s="11">
        <v>0</v>
      </c>
      <c r="BQ17" s="14">
        <v>1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33"/>
      <c r="BX17" s="34"/>
      <c r="BY17" s="34"/>
      <c r="BZ17" s="34"/>
      <c r="CA17" s="34"/>
      <c r="CB17" s="34"/>
      <c r="CC17" s="34"/>
      <c r="CD17" s="35"/>
      <c r="CE17" s="14">
        <v>0</v>
      </c>
      <c r="CF17" s="14">
        <v>0</v>
      </c>
      <c r="CG17" s="14">
        <v>1</v>
      </c>
      <c r="CH17" s="14">
        <v>0</v>
      </c>
      <c r="CI17" s="14">
        <v>0</v>
      </c>
      <c r="CJ17" s="14">
        <v>1</v>
      </c>
      <c r="CK17" s="14">
        <v>0</v>
      </c>
      <c r="CL17" s="14">
        <v>0</v>
      </c>
      <c r="CM17" s="33"/>
      <c r="CN17" s="34"/>
      <c r="CO17" s="34"/>
      <c r="CP17" s="34"/>
      <c r="CQ17" s="34"/>
      <c r="CR17" s="34"/>
      <c r="CS17" s="34"/>
      <c r="CT17" s="35"/>
    </row>
    <row r="18" spans="1:98" x14ac:dyDescent="0.25">
      <c r="A18" s="14">
        <v>0</v>
      </c>
      <c r="B18" s="14">
        <v>0</v>
      </c>
      <c r="C18" s="14">
        <v>1</v>
      </c>
      <c r="D18" s="14">
        <v>1</v>
      </c>
      <c r="E18" s="14">
        <v>1</v>
      </c>
      <c r="F18" s="14">
        <v>0</v>
      </c>
      <c r="G18" s="14">
        <v>0</v>
      </c>
      <c r="H18" s="14">
        <v>0</v>
      </c>
      <c r="I18" s="40" t="s">
        <v>48</v>
      </c>
      <c r="J18" s="41"/>
      <c r="K18" s="41"/>
      <c r="L18" s="41"/>
      <c r="M18" s="44">
        <v>208</v>
      </c>
      <c r="N18" s="44"/>
      <c r="O18" s="44">
        <v>178</v>
      </c>
      <c r="P18" s="45"/>
      <c r="Q18" s="14">
        <v>0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40" t="s">
        <v>48</v>
      </c>
      <c r="Z18" s="41"/>
      <c r="AA18" s="41"/>
      <c r="AB18" s="41"/>
      <c r="AC18" s="44">
        <v>208</v>
      </c>
      <c r="AD18" s="44"/>
      <c r="AE18" s="44">
        <v>179</v>
      </c>
      <c r="AF18" s="45"/>
      <c r="AG18" s="14">
        <v>0</v>
      </c>
      <c r="AH18" s="14">
        <v>1</v>
      </c>
      <c r="AI18" s="14">
        <v>0</v>
      </c>
      <c r="AJ18" s="14">
        <v>0</v>
      </c>
      <c r="AK18" s="14">
        <v>0</v>
      </c>
      <c r="AL18" s="14">
        <v>1</v>
      </c>
      <c r="AM18" s="14">
        <v>0</v>
      </c>
      <c r="AN18" s="14">
        <v>0</v>
      </c>
      <c r="AO18" s="40" t="s">
        <v>48</v>
      </c>
      <c r="AP18" s="41"/>
      <c r="AQ18" s="41"/>
      <c r="AR18" s="41"/>
      <c r="AS18" s="44">
        <v>208</v>
      </c>
      <c r="AT18" s="44"/>
      <c r="AU18" s="44">
        <v>180</v>
      </c>
      <c r="AV18" s="45"/>
      <c r="AW18" s="14">
        <v>0</v>
      </c>
      <c r="AX18" s="14">
        <v>0</v>
      </c>
      <c r="AY18" s="14">
        <v>1</v>
      </c>
      <c r="AZ18" s="14">
        <v>1</v>
      </c>
      <c r="BA18" s="14">
        <v>1</v>
      </c>
      <c r="BB18" s="14">
        <v>0</v>
      </c>
      <c r="BC18" s="14">
        <v>0</v>
      </c>
      <c r="BD18" s="14">
        <v>0</v>
      </c>
      <c r="BE18" s="40" t="s">
        <v>48</v>
      </c>
      <c r="BF18" s="41"/>
      <c r="BG18" s="41"/>
      <c r="BH18" s="41"/>
      <c r="BI18" s="44">
        <v>208</v>
      </c>
      <c r="BJ18" s="44"/>
      <c r="BK18" s="44">
        <v>181</v>
      </c>
      <c r="BL18" s="45"/>
      <c r="BO18" s="26">
        <v>0</v>
      </c>
      <c r="BP18" s="11">
        <v>0</v>
      </c>
      <c r="BQ18" s="14">
        <v>0</v>
      </c>
      <c r="BR18" s="14">
        <v>1</v>
      </c>
      <c r="BS18" s="14">
        <v>1</v>
      </c>
      <c r="BT18" s="14">
        <v>1</v>
      </c>
      <c r="BU18" s="14">
        <v>0</v>
      </c>
      <c r="BV18" s="14">
        <v>0</v>
      </c>
      <c r="BW18" s="40" t="s">
        <v>48</v>
      </c>
      <c r="BX18" s="41"/>
      <c r="BY18" s="41"/>
      <c r="BZ18" s="41"/>
      <c r="CA18" s="44">
        <v>0</v>
      </c>
      <c r="CB18" s="44"/>
      <c r="CC18" s="44">
        <v>99</v>
      </c>
      <c r="CD18" s="45"/>
      <c r="CE18" s="14">
        <v>0</v>
      </c>
      <c r="CF18" s="14">
        <v>0</v>
      </c>
      <c r="CG18" s="14">
        <v>1</v>
      </c>
      <c r="CH18" s="14">
        <v>1</v>
      </c>
      <c r="CI18" s="14">
        <v>1</v>
      </c>
      <c r="CJ18" s="14">
        <v>0</v>
      </c>
      <c r="CK18" s="14">
        <v>0</v>
      </c>
      <c r="CL18" s="14">
        <v>0</v>
      </c>
      <c r="CM18" s="40" t="s">
        <v>48</v>
      </c>
      <c r="CN18" s="41"/>
      <c r="CO18" s="41"/>
      <c r="CP18" s="41"/>
      <c r="CQ18" s="44">
        <v>0</v>
      </c>
      <c r="CR18" s="44"/>
      <c r="CS18" s="44">
        <v>100</v>
      </c>
      <c r="CT18" s="45"/>
    </row>
    <row r="19" spans="1:98" x14ac:dyDescent="0.25">
      <c r="A19" s="15">
        <v>0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2"/>
      <c r="J19" s="12"/>
      <c r="K19" s="12"/>
      <c r="L19" s="12"/>
      <c r="M19" s="12"/>
      <c r="N19" s="12"/>
      <c r="O19" s="12"/>
      <c r="P19" s="12"/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2"/>
      <c r="Z19" s="12"/>
      <c r="AA19" s="12"/>
      <c r="AB19" s="12"/>
      <c r="AC19" s="12"/>
      <c r="AD19" s="12"/>
      <c r="AE19" s="12"/>
      <c r="AF19" s="13"/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2"/>
      <c r="AP19" s="12"/>
      <c r="AQ19" s="12"/>
      <c r="AR19" s="12"/>
      <c r="AS19" s="12"/>
      <c r="AT19" s="12"/>
      <c r="AU19" s="12"/>
      <c r="AV19" s="12"/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2"/>
      <c r="BF19" s="12"/>
      <c r="BG19" s="12"/>
      <c r="BH19" s="12"/>
      <c r="BI19" s="12"/>
      <c r="BJ19" s="12"/>
      <c r="BK19" s="12"/>
      <c r="BL19" s="12"/>
      <c r="BO19" s="26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2"/>
      <c r="BX19" s="12"/>
      <c r="BY19" s="12"/>
      <c r="BZ19" s="12"/>
      <c r="CA19" s="12"/>
      <c r="CB19" s="12"/>
      <c r="CC19" s="12"/>
      <c r="CD19" s="13"/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2"/>
      <c r="CN19" s="12"/>
      <c r="CO19" s="12"/>
      <c r="CP19" s="12"/>
      <c r="CQ19" s="12"/>
      <c r="CR19" s="12"/>
      <c r="CS19" s="12"/>
      <c r="CT19" s="12"/>
    </row>
    <row r="20" spans="1:98" s="5" customFormat="1" x14ac:dyDescent="0.25">
      <c r="A20" s="10">
        <v>1</v>
      </c>
      <c r="B20" s="10">
        <v>2</v>
      </c>
      <c r="C20" s="10">
        <v>3</v>
      </c>
      <c r="D20" s="10">
        <v>4</v>
      </c>
      <c r="E20" s="10">
        <v>5</v>
      </c>
      <c r="F20" s="10">
        <v>6</v>
      </c>
      <c r="G20" s="10">
        <v>7</v>
      </c>
      <c r="H20" s="10">
        <v>8</v>
      </c>
      <c r="I20" s="38" t="s">
        <v>0</v>
      </c>
      <c r="J20" s="38"/>
      <c r="K20" s="38"/>
      <c r="L20" s="38"/>
      <c r="M20" s="39">
        <v>208</v>
      </c>
      <c r="N20" s="39"/>
      <c r="O20" s="39">
        <v>150</v>
      </c>
      <c r="P20" s="39"/>
      <c r="Q20" s="10">
        <v>1</v>
      </c>
      <c r="R20" s="10">
        <v>2</v>
      </c>
      <c r="S20" s="10">
        <v>3</v>
      </c>
      <c r="T20" s="10">
        <v>4</v>
      </c>
      <c r="U20" s="10">
        <v>5</v>
      </c>
      <c r="V20" s="10">
        <v>6</v>
      </c>
      <c r="W20" s="10">
        <v>7</v>
      </c>
      <c r="X20" s="10">
        <v>8</v>
      </c>
      <c r="Y20" s="38" t="s">
        <v>0</v>
      </c>
      <c r="Z20" s="38"/>
      <c r="AA20" s="38"/>
      <c r="AB20" s="38"/>
      <c r="AC20" s="39">
        <v>208</v>
      </c>
      <c r="AD20" s="39"/>
      <c r="AE20" s="39">
        <v>151</v>
      </c>
      <c r="AF20" s="39"/>
      <c r="AG20" s="10">
        <v>1</v>
      </c>
      <c r="AH20" s="10">
        <v>2</v>
      </c>
      <c r="AI20" s="10">
        <v>3</v>
      </c>
      <c r="AJ20" s="10">
        <v>4</v>
      </c>
      <c r="AK20" s="10">
        <v>5</v>
      </c>
      <c r="AL20" s="10">
        <v>6</v>
      </c>
      <c r="AM20" s="10">
        <v>7</v>
      </c>
      <c r="AN20" s="10">
        <v>8</v>
      </c>
      <c r="AO20" s="38" t="s">
        <v>0</v>
      </c>
      <c r="AP20" s="38"/>
      <c r="AQ20" s="38"/>
      <c r="AR20" s="38"/>
      <c r="AS20" s="39">
        <v>208</v>
      </c>
      <c r="AT20" s="39"/>
      <c r="AU20" s="39">
        <v>152</v>
      </c>
      <c r="AV20" s="39"/>
      <c r="AW20" s="10">
        <v>1</v>
      </c>
      <c r="AX20" s="10">
        <v>2</v>
      </c>
      <c r="AY20" s="10">
        <v>3</v>
      </c>
      <c r="AZ20" s="10">
        <v>4</v>
      </c>
      <c r="BA20" s="10">
        <v>5</v>
      </c>
      <c r="BB20" s="10">
        <v>6</v>
      </c>
      <c r="BC20" s="10">
        <v>7</v>
      </c>
      <c r="BD20" s="10">
        <v>8</v>
      </c>
      <c r="BE20" s="38" t="s">
        <v>0</v>
      </c>
      <c r="BF20" s="38"/>
      <c r="BG20" s="38"/>
      <c r="BH20" s="38"/>
      <c r="BI20" s="39">
        <v>208</v>
      </c>
      <c r="BJ20" s="39"/>
      <c r="BK20" s="39">
        <v>153</v>
      </c>
      <c r="BL20" s="39"/>
      <c r="BM20" s="20"/>
      <c r="BN20" s="20"/>
      <c r="BO20" s="10">
        <v>1</v>
      </c>
      <c r="BP20" s="10">
        <v>2</v>
      </c>
      <c r="BQ20" s="10">
        <v>3</v>
      </c>
      <c r="BR20" s="10">
        <v>4</v>
      </c>
      <c r="BS20" s="10">
        <v>5</v>
      </c>
      <c r="BT20" s="10">
        <v>6</v>
      </c>
      <c r="BU20" s="10">
        <v>7</v>
      </c>
      <c r="BV20" s="10">
        <v>8</v>
      </c>
      <c r="BW20" s="38" t="s">
        <v>0</v>
      </c>
      <c r="BX20" s="38"/>
      <c r="BY20" s="38"/>
      <c r="BZ20" s="38"/>
      <c r="CA20" s="39">
        <v>0</v>
      </c>
      <c r="CB20" s="39"/>
      <c r="CC20" s="39">
        <v>69</v>
      </c>
      <c r="CD20" s="39"/>
      <c r="CE20" s="10">
        <v>1</v>
      </c>
      <c r="CF20" s="10">
        <v>2</v>
      </c>
      <c r="CG20" s="10">
        <v>3</v>
      </c>
      <c r="CH20" s="10">
        <v>4</v>
      </c>
      <c r="CI20" s="10">
        <v>5</v>
      </c>
      <c r="CJ20" s="10">
        <v>6</v>
      </c>
      <c r="CK20" s="10">
        <v>7</v>
      </c>
      <c r="CL20" s="10">
        <v>8</v>
      </c>
      <c r="CM20" s="38" t="s">
        <v>0</v>
      </c>
      <c r="CN20" s="38"/>
      <c r="CO20" s="38"/>
      <c r="CP20" s="38"/>
      <c r="CQ20" s="39">
        <v>0</v>
      </c>
      <c r="CR20" s="39"/>
      <c r="CS20" s="39">
        <v>70</v>
      </c>
      <c r="CT20" s="39"/>
    </row>
    <row r="21" spans="1:98" x14ac:dyDescent="0.25">
      <c r="A21" s="11">
        <v>0</v>
      </c>
      <c r="B21" s="11">
        <v>1</v>
      </c>
      <c r="C21" s="11">
        <v>0</v>
      </c>
      <c r="D21" s="11">
        <v>1</v>
      </c>
      <c r="E21" s="11">
        <v>0</v>
      </c>
      <c r="F21" s="11">
        <v>1</v>
      </c>
      <c r="G21" s="11">
        <v>0</v>
      </c>
      <c r="H21" s="11">
        <v>0</v>
      </c>
      <c r="I21" s="12" t="str">
        <f>BIN2HEX(A28&amp;A27&amp;A26&amp;A25&amp;A24&amp;A23&amp;A22&amp;A21)</f>
        <v>0</v>
      </c>
      <c r="J21" s="12" t="str">
        <f t="shared" ref="J21" si="67">BIN2HEX(B28&amp;B27&amp;B26&amp;B25&amp;B24&amp;B23&amp;B22&amp;B21)</f>
        <v>77</v>
      </c>
      <c r="K21" s="12" t="str">
        <f t="shared" ref="K21" si="68">BIN2HEX(C28&amp;C27&amp;C26&amp;C25&amp;C24&amp;C23&amp;C22&amp;C21)</f>
        <v>8</v>
      </c>
      <c r="L21" s="12" t="str">
        <f t="shared" ref="L21" si="69">BIN2HEX(D28&amp;D27&amp;D26&amp;D25&amp;D24&amp;D23&amp;D22&amp;D21)</f>
        <v>7F</v>
      </c>
      <c r="M21" s="12" t="str">
        <f t="shared" ref="M21" si="70">BIN2HEX(E28&amp;E27&amp;E26&amp;E25&amp;E24&amp;E23&amp;E22&amp;E21)</f>
        <v>8</v>
      </c>
      <c r="N21" s="12" t="str">
        <f t="shared" ref="N21" si="71">BIN2HEX(F28&amp;F27&amp;F26&amp;F25&amp;F24&amp;F23&amp;F22&amp;F21)</f>
        <v>77</v>
      </c>
      <c r="O21" s="12" t="str">
        <f t="shared" ref="O21" si="72">BIN2HEX(G28&amp;G27&amp;G26&amp;G25&amp;G24&amp;G23&amp;G22&amp;G21)</f>
        <v>0</v>
      </c>
      <c r="P21" s="12" t="str">
        <f>BIN2HEX(H28&amp;H27&amp;H26&amp;H25&amp;H24&amp;H23&amp;H22&amp;H21)</f>
        <v>0</v>
      </c>
      <c r="Q21" s="11">
        <v>0</v>
      </c>
      <c r="R21" s="11">
        <v>0</v>
      </c>
      <c r="S21" s="11">
        <v>1</v>
      </c>
      <c r="T21" s="11">
        <v>1</v>
      </c>
      <c r="U21" s="11">
        <v>1</v>
      </c>
      <c r="V21" s="11">
        <v>0</v>
      </c>
      <c r="W21" s="11">
        <v>0</v>
      </c>
      <c r="X21" s="11">
        <v>0</v>
      </c>
      <c r="Y21" s="12" t="str">
        <f>BIN2HEX(Q28&amp;Q27&amp;Q26&amp;Q25&amp;Q24&amp;Q23&amp;Q22&amp;Q21)</f>
        <v>0</v>
      </c>
      <c r="Z21" s="12" t="str">
        <f t="shared" ref="Z21" si="73">BIN2HEX(R28&amp;R27&amp;R26&amp;R25&amp;R24&amp;R23&amp;R22&amp;R21)</f>
        <v>0</v>
      </c>
      <c r="AA21" s="12" t="str">
        <f t="shared" ref="AA21" si="74">BIN2HEX(S28&amp;S27&amp;S26&amp;S25&amp;S24&amp;S23&amp;S22&amp;S21)</f>
        <v>49</v>
      </c>
      <c r="AB21" s="12" t="str">
        <f t="shared" ref="AB21" si="75">BIN2HEX(T28&amp;T27&amp;T26&amp;T25&amp;T24&amp;T23&amp;T22&amp;T21)</f>
        <v>49</v>
      </c>
      <c r="AC21" s="12" t="str">
        <f t="shared" ref="AC21" si="76">BIN2HEX(U28&amp;U27&amp;U26&amp;U25&amp;U24&amp;U23&amp;U22&amp;U21)</f>
        <v>49</v>
      </c>
      <c r="AD21" s="12" t="str">
        <f t="shared" ref="AD21" si="77">BIN2HEX(V28&amp;V27&amp;V26&amp;V25&amp;V24&amp;V23&amp;V22&amp;V21)</f>
        <v>36</v>
      </c>
      <c r="AE21" s="12" t="str">
        <f t="shared" ref="AE21" si="78">BIN2HEX(W28&amp;W27&amp;W26&amp;W25&amp;W24&amp;W23&amp;W22&amp;W21)</f>
        <v>0</v>
      </c>
      <c r="AF21" s="13" t="str">
        <f>BIN2HEX(X28&amp;X27&amp;X26&amp;X25&amp;X24&amp;X23&amp;X22&amp;X21)</f>
        <v>0</v>
      </c>
      <c r="AG21" s="11">
        <v>0</v>
      </c>
      <c r="AH21" s="11">
        <v>1</v>
      </c>
      <c r="AI21" s="11">
        <v>0</v>
      </c>
      <c r="AJ21" s="11">
        <v>0</v>
      </c>
      <c r="AK21" s="11">
        <v>0</v>
      </c>
      <c r="AL21" s="11">
        <v>1</v>
      </c>
      <c r="AM21" s="11">
        <v>0</v>
      </c>
      <c r="AN21" s="11">
        <v>0</v>
      </c>
      <c r="AO21" s="12" t="str">
        <f>BIN2HEX(AG28&amp;AG27&amp;AG26&amp;AG25&amp;AG24&amp;AG23&amp;AG22&amp;AG21)</f>
        <v>0</v>
      </c>
      <c r="AP21" s="12" t="str">
        <f t="shared" ref="AP21" si="79">BIN2HEX(AH28&amp;AH27&amp;AH26&amp;AH25&amp;AH24&amp;AH23&amp;AH22&amp;AH21)</f>
        <v>7F</v>
      </c>
      <c r="AQ21" s="12" t="str">
        <f t="shared" ref="AQ21" si="80">BIN2HEX(AI28&amp;AI27&amp;AI26&amp;AI25&amp;AI24&amp;AI23&amp;AI22&amp;AI21)</f>
        <v>20</v>
      </c>
      <c r="AR21" s="12" t="str">
        <f t="shared" ref="AR21" si="81">BIN2HEX(AJ28&amp;AJ27&amp;AJ26&amp;AJ25&amp;AJ24&amp;AJ23&amp;AJ22&amp;AJ21)</f>
        <v>10</v>
      </c>
      <c r="AS21" s="12" t="str">
        <f t="shared" ref="AS21" si="82">BIN2HEX(AK28&amp;AK27&amp;AK26&amp;AK25&amp;AK24&amp;AK23&amp;AK22&amp;AK21)</f>
        <v>8</v>
      </c>
      <c r="AT21" s="12" t="str">
        <f t="shared" ref="AT21" si="83">BIN2HEX(AL28&amp;AL27&amp;AL26&amp;AL25&amp;AL24&amp;AL23&amp;AL22&amp;AL21)</f>
        <v>7F</v>
      </c>
      <c r="AU21" s="12" t="str">
        <f t="shared" ref="AU21" si="84">BIN2HEX(AM28&amp;AM27&amp;AM26&amp;AM25&amp;AM24&amp;AM23&amp;AM22&amp;AM21)</f>
        <v>0</v>
      </c>
      <c r="AV21" s="12" t="str">
        <f>BIN2HEX(AN28&amp;AN27&amp;AN26&amp;AN25&amp;AN24&amp;AN23&amp;AN22&amp;AN21)</f>
        <v>0</v>
      </c>
      <c r="AW21" s="11">
        <v>0</v>
      </c>
      <c r="AX21" s="11">
        <v>0</v>
      </c>
      <c r="AY21" s="11">
        <v>1</v>
      </c>
      <c r="AZ21" s="11">
        <v>1</v>
      </c>
      <c r="BA21" s="11">
        <v>1</v>
      </c>
      <c r="BB21" s="11">
        <v>0</v>
      </c>
      <c r="BC21" s="11">
        <v>0</v>
      </c>
      <c r="BD21" s="11">
        <v>0</v>
      </c>
      <c r="BE21" s="12" t="str">
        <f>BIN2HEX(AW28&amp;AW27&amp;AW26&amp;AW25&amp;AW24&amp;AW23&amp;AW22&amp;AW21)</f>
        <v>0</v>
      </c>
      <c r="BF21" s="12" t="str">
        <f t="shared" ref="BF21" si="85">BIN2HEX(AX28&amp;AX27&amp;AX26&amp;AX25&amp;AX24&amp;AX23&amp;AX22&amp;AX21)</f>
        <v>7C</v>
      </c>
      <c r="BG21" s="12" t="str">
        <f t="shared" ref="BG21" si="86">BIN2HEX(AY28&amp;AY27&amp;AY26&amp;AY25&amp;AY24&amp;AY23&amp;AY22&amp;AY21)</f>
        <v>21</v>
      </c>
      <c r="BH21" s="12" t="str">
        <f t="shared" ref="BH21" si="87">BIN2HEX(AZ28&amp;AZ27&amp;AZ26&amp;AZ25&amp;AZ24&amp;AZ23&amp;AZ22&amp;AZ21)</f>
        <v>11</v>
      </c>
      <c r="BI21" s="12" t="str">
        <f t="shared" ref="BI21" si="88">BIN2HEX(BA28&amp;BA27&amp;BA26&amp;BA25&amp;BA24&amp;BA23&amp;BA22&amp;BA21)</f>
        <v>9</v>
      </c>
      <c r="BJ21" s="12" t="str">
        <f t="shared" ref="BJ21" si="89">BIN2HEX(BB28&amp;BB27&amp;BB26&amp;BB25&amp;BB24&amp;BB23&amp;BB22&amp;BB21)</f>
        <v>7C</v>
      </c>
      <c r="BK21" s="12" t="str">
        <f t="shared" ref="BK21" si="90">BIN2HEX(BC28&amp;BC27&amp;BC26&amp;BC25&amp;BC24&amp;BC23&amp;BC22&amp;BC21)</f>
        <v>0</v>
      </c>
      <c r="BL21" s="12" t="str">
        <f>BIN2HEX(BD28&amp;BD27&amp;BD26&amp;BD25&amp;BD24&amp;BD23&amp;BD22&amp;BD21)</f>
        <v>0</v>
      </c>
      <c r="BO21" s="11">
        <v>0</v>
      </c>
      <c r="BP21" s="11">
        <v>0</v>
      </c>
      <c r="BQ21" s="11">
        <v>1</v>
      </c>
      <c r="BR21" s="11">
        <v>1</v>
      </c>
      <c r="BS21" s="11">
        <v>1</v>
      </c>
      <c r="BT21" s="11">
        <v>0</v>
      </c>
      <c r="BU21" s="11">
        <v>0</v>
      </c>
      <c r="BV21" s="11">
        <v>0</v>
      </c>
      <c r="BW21" s="12" t="str">
        <f>BIN2HEX(BO28&amp;BO27&amp;BO26&amp;BO25&amp;BO24&amp;BO23&amp;BO22&amp;BO21)</f>
        <v>0</v>
      </c>
      <c r="BX21" s="12" t="str">
        <f t="shared" ref="BX21" si="91">BIN2HEX(BP28&amp;BP27&amp;BP26&amp;BP25&amp;BP24&amp;BP23&amp;BP22&amp;BP21)</f>
        <v>3E</v>
      </c>
      <c r="BY21" s="12" t="str">
        <f t="shared" ref="BY21" si="92">BIN2HEX(BQ28&amp;BQ27&amp;BQ26&amp;BQ25&amp;BQ24&amp;BQ23&amp;BQ22&amp;BQ21)</f>
        <v>49</v>
      </c>
      <c r="BZ21" s="12" t="str">
        <f t="shared" ref="BZ21" si="93">BIN2HEX(BR28&amp;BR27&amp;BR26&amp;BR25&amp;BR24&amp;BR23&amp;BR22&amp;BR21)</f>
        <v>49</v>
      </c>
      <c r="CA21" s="12" t="str">
        <f t="shared" ref="CA21" si="94">BIN2HEX(BS28&amp;BS27&amp;BS26&amp;BS25&amp;BS24&amp;BS23&amp;BS22&amp;BS21)</f>
        <v>49</v>
      </c>
      <c r="CB21" s="12" t="str">
        <f t="shared" ref="CB21" si="95">BIN2HEX(BT28&amp;BT27&amp;BT26&amp;BT25&amp;BT24&amp;BT23&amp;BT22&amp;BT21)</f>
        <v>26</v>
      </c>
      <c r="CC21" s="12" t="str">
        <f t="shared" ref="CC21" si="96">BIN2HEX(BU28&amp;BU27&amp;BU26&amp;BU25&amp;BU24&amp;BU23&amp;BU22&amp;BU21)</f>
        <v>0</v>
      </c>
      <c r="CD21" s="12" t="str">
        <f>BIN2HEX(BV28&amp;BV27&amp;BV26&amp;BV25&amp;BV24&amp;BV23&amp;BV22&amp;BV21)</f>
        <v>0</v>
      </c>
      <c r="CE21" s="11">
        <v>0</v>
      </c>
      <c r="CF21" s="11">
        <v>0</v>
      </c>
      <c r="CG21" s="11">
        <v>1</v>
      </c>
      <c r="CH21" s="11">
        <v>1</v>
      </c>
      <c r="CI21" s="11">
        <v>1</v>
      </c>
      <c r="CJ21" s="11">
        <v>1</v>
      </c>
      <c r="CK21" s="11">
        <v>0</v>
      </c>
      <c r="CL21" s="11">
        <v>0</v>
      </c>
      <c r="CM21" s="12" t="str">
        <f>BIN2HEX(CE28&amp;CE27&amp;CE26&amp;CE25&amp;CE24&amp;CE23&amp;CE22&amp;CE21)</f>
        <v>0</v>
      </c>
      <c r="CN21" s="12" t="str">
        <f t="shared" ref="CN21" si="97">BIN2HEX(CF28&amp;CF27&amp;CF26&amp;CF25&amp;CF24&amp;CF23&amp;CF22&amp;CF21)</f>
        <v>0</v>
      </c>
      <c r="CO21" s="12" t="str">
        <f t="shared" ref="CO21" si="98">BIN2HEX(CG28&amp;CG27&amp;CG26&amp;CG25&amp;CG24&amp;CG23&amp;CG22&amp;CG21)</f>
        <v>7F</v>
      </c>
      <c r="CP21" s="12" t="str">
        <f t="shared" ref="CP21" si="99">BIN2HEX(CH28&amp;CH27&amp;CH26&amp;CH25&amp;CH24&amp;CH23&amp;CH22&amp;CH21)</f>
        <v>9</v>
      </c>
      <c r="CQ21" s="12" t="str">
        <f t="shared" ref="CQ21" si="100">BIN2HEX(CI28&amp;CI27&amp;CI26&amp;CI25&amp;CI24&amp;CI23&amp;CI22&amp;CI21)</f>
        <v>9</v>
      </c>
      <c r="CR21" s="12" t="str">
        <f t="shared" ref="CR21" si="101">BIN2HEX(CJ28&amp;CJ27&amp;CJ26&amp;CJ25&amp;CJ24&amp;CJ23&amp;CJ22&amp;CJ21)</f>
        <v>9</v>
      </c>
      <c r="CS21" s="12" t="str">
        <f t="shared" ref="CS21" si="102">BIN2HEX(CK28&amp;CK27&amp;CK26&amp;CK25&amp;CK24&amp;CK23&amp;CK22&amp;CK21)</f>
        <v>0</v>
      </c>
      <c r="CT21" s="12" t="str">
        <f>BIN2HEX(CL28&amp;CL27&amp;CL26&amp;CL25&amp;CL24&amp;CL23&amp;CL22&amp;CL21)</f>
        <v>0</v>
      </c>
    </row>
    <row r="22" spans="1:98" ht="15" customHeight="1" x14ac:dyDescent="0.25">
      <c r="A22" s="14">
        <v>0</v>
      </c>
      <c r="B22" s="14">
        <v>1</v>
      </c>
      <c r="C22" s="14">
        <v>0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36" t="str">
        <f>"0x"&amp;I21&amp;", 0x"&amp;J21&amp;", 0x"&amp;K21&amp;", 0x"&amp;L21&amp;", 0x"&amp;M21&amp;", 0x"&amp;N21&amp;", 0x"&amp;O21&amp;", 0x"&amp;P21</f>
        <v>0x0, 0x77, 0x8, 0x7F, 0x8, 0x77, 0x0, 0x0</v>
      </c>
      <c r="J22" s="34"/>
      <c r="K22" s="34"/>
      <c r="L22" s="34"/>
      <c r="M22" s="34"/>
      <c r="N22" s="34"/>
      <c r="O22" s="34"/>
      <c r="P22" s="34"/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1</v>
      </c>
      <c r="W22" s="14">
        <v>0</v>
      </c>
      <c r="X22" s="14">
        <v>0</v>
      </c>
      <c r="Y22" s="36" t="str">
        <f>"0x"&amp;Y21&amp;", 0x"&amp;Z21&amp;", 0x"&amp;AA21&amp;", 0x"&amp;AB21&amp;", 0x"&amp;AC21&amp;", 0x"&amp;AD21&amp;", 0x"&amp;AE21&amp;", 0x"&amp;AF21</f>
        <v>0x0, 0x0, 0x49, 0x49, 0x49, 0x36, 0x0, 0x0</v>
      </c>
      <c r="Z22" s="34"/>
      <c r="AA22" s="34"/>
      <c r="AB22" s="34"/>
      <c r="AC22" s="34"/>
      <c r="AD22" s="34"/>
      <c r="AE22" s="34"/>
      <c r="AF22" s="37"/>
      <c r="AG22" s="14">
        <v>0</v>
      </c>
      <c r="AH22" s="14">
        <v>1</v>
      </c>
      <c r="AI22" s="14">
        <v>0</v>
      </c>
      <c r="AJ22" s="14">
        <v>0</v>
      </c>
      <c r="AK22" s="14">
        <v>0</v>
      </c>
      <c r="AL22" s="14">
        <v>1</v>
      </c>
      <c r="AM22" s="14">
        <v>0</v>
      </c>
      <c r="AN22" s="14">
        <v>0</v>
      </c>
      <c r="AO22" s="36" t="str">
        <f>"0x"&amp;AO21&amp;", 0x"&amp;AP21&amp;", 0x"&amp;AQ21&amp;", 0x"&amp;AR21&amp;", 0x"&amp;AS21&amp;", 0x"&amp;AT21&amp;", 0x"&amp;AU21&amp;", 0x"&amp;AV21</f>
        <v>0x0, 0x7F, 0x20, 0x10, 0x8, 0x7F, 0x0, 0x0</v>
      </c>
      <c r="AP22" s="34"/>
      <c r="AQ22" s="34"/>
      <c r="AR22" s="34"/>
      <c r="AS22" s="34"/>
      <c r="AT22" s="34"/>
      <c r="AU22" s="34"/>
      <c r="AV22" s="34"/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36" t="str">
        <f>"0x"&amp;BE21&amp;", 0x"&amp;BF21&amp;", 0x"&amp;BG21&amp;", 0x"&amp;BH21&amp;", 0x"&amp;BI21&amp;", 0x"&amp;BJ21&amp;", 0x"&amp;BK21&amp;", 0x"&amp;BL21</f>
        <v>0x0, 0x7C, 0x21, 0x11, 0x9, 0x7C, 0x0, 0x0</v>
      </c>
      <c r="BF22" s="34"/>
      <c r="BG22" s="34"/>
      <c r="BH22" s="34"/>
      <c r="BI22" s="34"/>
      <c r="BJ22" s="34"/>
      <c r="BK22" s="34"/>
      <c r="BL22" s="37"/>
      <c r="BO22" s="14">
        <v>0</v>
      </c>
      <c r="BP22" s="14">
        <v>1</v>
      </c>
      <c r="BQ22" s="14">
        <v>0</v>
      </c>
      <c r="BR22" s="14">
        <v>0</v>
      </c>
      <c r="BS22" s="14">
        <v>0</v>
      </c>
      <c r="BT22" s="14">
        <v>1</v>
      </c>
      <c r="BU22" s="14">
        <v>0</v>
      </c>
      <c r="BV22" s="14">
        <v>0</v>
      </c>
      <c r="BW22" s="36" t="str">
        <f>"0x"&amp;BW21&amp;", 0x"&amp;BX21&amp;", 0x"&amp;BY21&amp;", 0x"&amp;BZ21&amp;", 0x"&amp;CA21&amp;", 0x"&amp;CB21&amp;", 0x"&amp;CC21&amp;", 0x"&amp;CD21</f>
        <v>0x0, 0x3E, 0x49, 0x49, 0x49, 0x26, 0x0, 0x0</v>
      </c>
      <c r="BX22" s="34"/>
      <c r="BY22" s="34"/>
      <c r="BZ22" s="34"/>
      <c r="CA22" s="34"/>
      <c r="CB22" s="34"/>
      <c r="CC22" s="34"/>
      <c r="CD22" s="37"/>
      <c r="CE22" s="14">
        <v>0</v>
      </c>
      <c r="CF22" s="14">
        <v>0</v>
      </c>
      <c r="CG22" s="14">
        <v>1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36" t="str">
        <f>"0x"&amp;CM21&amp;", 0x"&amp;CN21&amp;", 0x"&amp;CO21&amp;", 0x"&amp;CP21&amp;", 0x"&amp;CQ21&amp;", 0x"&amp;CR21&amp;", 0x"&amp;CS21&amp;", 0x"&amp;CT21</f>
        <v>0x0, 0x0, 0x7F, 0x9, 0x9, 0x9, 0x0, 0x0</v>
      </c>
      <c r="CN22" s="34"/>
      <c r="CO22" s="34"/>
      <c r="CP22" s="34"/>
      <c r="CQ22" s="34"/>
      <c r="CR22" s="34"/>
      <c r="CS22" s="34"/>
      <c r="CT22" s="34"/>
    </row>
    <row r="23" spans="1:98" x14ac:dyDescent="0.25">
      <c r="A23" s="14">
        <v>0</v>
      </c>
      <c r="B23" s="14">
        <v>1</v>
      </c>
      <c r="C23" s="14">
        <v>0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36"/>
      <c r="J23" s="34"/>
      <c r="K23" s="34"/>
      <c r="L23" s="34"/>
      <c r="M23" s="34"/>
      <c r="N23" s="34"/>
      <c r="O23" s="34"/>
      <c r="P23" s="34"/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1</v>
      </c>
      <c r="W23" s="14">
        <v>0</v>
      </c>
      <c r="X23" s="14">
        <v>0</v>
      </c>
      <c r="Y23" s="36"/>
      <c r="Z23" s="34"/>
      <c r="AA23" s="34"/>
      <c r="AB23" s="34"/>
      <c r="AC23" s="34"/>
      <c r="AD23" s="34"/>
      <c r="AE23" s="34"/>
      <c r="AF23" s="37"/>
      <c r="AG23" s="14">
        <v>0</v>
      </c>
      <c r="AH23" s="14">
        <v>1</v>
      </c>
      <c r="AI23" s="14">
        <v>0</v>
      </c>
      <c r="AJ23" s="14">
        <v>0</v>
      </c>
      <c r="AK23" s="14">
        <v>0</v>
      </c>
      <c r="AL23" s="14">
        <v>1</v>
      </c>
      <c r="AM23" s="14">
        <v>0</v>
      </c>
      <c r="AN23" s="14">
        <v>0</v>
      </c>
      <c r="AO23" s="36"/>
      <c r="AP23" s="34"/>
      <c r="AQ23" s="34"/>
      <c r="AR23" s="34"/>
      <c r="AS23" s="34"/>
      <c r="AT23" s="34"/>
      <c r="AU23" s="34"/>
      <c r="AV23" s="34"/>
      <c r="AW23" s="14">
        <v>0</v>
      </c>
      <c r="AX23" s="14">
        <v>1</v>
      </c>
      <c r="AY23" s="14">
        <v>0</v>
      </c>
      <c r="AZ23" s="14">
        <v>0</v>
      </c>
      <c r="BA23" s="14">
        <v>0</v>
      </c>
      <c r="BB23" s="14">
        <v>1</v>
      </c>
      <c r="BC23" s="14">
        <v>0</v>
      </c>
      <c r="BD23" s="14">
        <v>0</v>
      </c>
      <c r="BE23" s="36"/>
      <c r="BF23" s="34"/>
      <c r="BG23" s="34"/>
      <c r="BH23" s="34"/>
      <c r="BI23" s="34"/>
      <c r="BJ23" s="34"/>
      <c r="BK23" s="34"/>
      <c r="BL23" s="37"/>
      <c r="BO23" s="14">
        <v>0</v>
      </c>
      <c r="BP23" s="14">
        <v>1</v>
      </c>
      <c r="BQ23" s="14">
        <v>0</v>
      </c>
      <c r="BR23" s="14">
        <v>0</v>
      </c>
      <c r="BS23" s="14">
        <v>0</v>
      </c>
      <c r="BT23" s="14">
        <v>1</v>
      </c>
      <c r="BU23" s="14">
        <v>0</v>
      </c>
      <c r="BV23" s="14">
        <v>0</v>
      </c>
      <c r="BW23" s="36"/>
      <c r="BX23" s="34"/>
      <c r="BY23" s="34"/>
      <c r="BZ23" s="34"/>
      <c r="CA23" s="34"/>
      <c r="CB23" s="34"/>
      <c r="CC23" s="34"/>
      <c r="CD23" s="37"/>
      <c r="CE23" s="14">
        <v>0</v>
      </c>
      <c r="CF23" s="14">
        <v>0</v>
      </c>
      <c r="CG23" s="14">
        <v>1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36"/>
      <c r="CN23" s="34"/>
      <c r="CO23" s="34"/>
      <c r="CP23" s="34"/>
      <c r="CQ23" s="34"/>
      <c r="CR23" s="34"/>
      <c r="CS23" s="34"/>
      <c r="CT23" s="34"/>
    </row>
    <row r="24" spans="1:98" x14ac:dyDescent="0.25">
      <c r="A24" s="14">
        <v>0</v>
      </c>
      <c r="B24" s="14">
        <v>0</v>
      </c>
      <c r="C24" s="14">
        <v>1</v>
      </c>
      <c r="D24" s="14">
        <v>1</v>
      </c>
      <c r="E24" s="14">
        <v>1</v>
      </c>
      <c r="F24" s="14">
        <v>0</v>
      </c>
      <c r="G24" s="14">
        <v>0</v>
      </c>
      <c r="H24" s="14">
        <v>0</v>
      </c>
      <c r="I24" s="40" t="s">
        <v>9</v>
      </c>
      <c r="J24" s="41"/>
      <c r="K24" s="41"/>
      <c r="L24" s="41"/>
      <c r="M24" s="41"/>
      <c r="N24" s="41"/>
      <c r="O24" s="41"/>
      <c r="P24" s="42"/>
      <c r="Q24" s="14">
        <v>0</v>
      </c>
      <c r="R24" s="14">
        <v>0</v>
      </c>
      <c r="S24" s="14">
        <v>1</v>
      </c>
      <c r="T24" s="14">
        <v>1</v>
      </c>
      <c r="U24" s="14">
        <v>1</v>
      </c>
      <c r="V24" s="14">
        <v>0</v>
      </c>
      <c r="W24" s="14">
        <v>0</v>
      </c>
      <c r="X24" s="14">
        <v>0</v>
      </c>
      <c r="Y24" s="40" t="s">
        <v>10</v>
      </c>
      <c r="Z24" s="41"/>
      <c r="AA24" s="41"/>
      <c r="AB24" s="41"/>
      <c r="AC24" s="41"/>
      <c r="AD24" s="41"/>
      <c r="AE24" s="41"/>
      <c r="AF24" s="43"/>
      <c r="AG24" s="14">
        <v>0</v>
      </c>
      <c r="AH24" s="14">
        <v>1</v>
      </c>
      <c r="AI24" s="14">
        <v>0</v>
      </c>
      <c r="AJ24" s="14">
        <v>0</v>
      </c>
      <c r="AK24" s="14">
        <v>1</v>
      </c>
      <c r="AL24" s="14">
        <v>1</v>
      </c>
      <c r="AM24" s="14">
        <v>0</v>
      </c>
      <c r="AN24" s="14">
        <v>0</v>
      </c>
      <c r="AO24" s="40" t="s">
        <v>11</v>
      </c>
      <c r="AP24" s="41"/>
      <c r="AQ24" s="41"/>
      <c r="AR24" s="41"/>
      <c r="AS24" s="41"/>
      <c r="AT24" s="41"/>
      <c r="AU24" s="41"/>
      <c r="AV24" s="42"/>
      <c r="AW24" s="14">
        <v>0</v>
      </c>
      <c r="AX24" s="14">
        <v>1</v>
      </c>
      <c r="AY24" s="14">
        <v>0</v>
      </c>
      <c r="AZ24" s="14">
        <v>0</v>
      </c>
      <c r="BA24" s="14">
        <v>1</v>
      </c>
      <c r="BB24" s="14">
        <v>1</v>
      </c>
      <c r="BC24" s="14">
        <v>0</v>
      </c>
      <c r="BD24" s="14">
        <v>0</v>
      </c>
      <c r="BE24" s="40" t="s">
        <v>32</v>
      </c>
      <c r="BF24" s="41"/>
      <c r="BG24" s="41"/>
      <c r="BH24" s="41"/>
      <c r="BI24" s="41"/>
      <c r="BJ24" s="41"/>
      <c r="BK24" s="41"/>
      <c r="BL24" s="43"/>
      <c r="BO24" s="14">
        <v>0</v>
      </c>
      <c r="BP24" s="14">
        <v>1</v>
      </c>
      <c r="BQ24" s="14">
        <v>1</v>
      </c>
      <c r="BR24" s="14">
        <v>1</v>
      </c>
      <c r="BS24" s="14">
        <v>1</v>
      </c>
      <c r="BT24" s="14">
        <v>0</v>
      </c>
      <c r="BU24" s="14">
        <v>0</v>
      </c>
      <c r="BV24" s="14">
        <v>0</v>
      </c>
      <c r="BW24" s="40" t="s">
        <v>58</v>
      </c>
      <c r="BX24" s="41"/>
      <c r="BY24" s="41"/>
      <c r="BZ24" s="41"/>
      <c r="CA24" s="41"/>
      <c r="CB24" s="41"/>
      <c r="CC24" s="41"/>
      <c r="CD24" s="43"/>
      <c r="CE24" s="14">
        <v>0</v>
      </c>
      <c r="CF24" s="14">
        <v>0</v>
      </c>
      <c r="CG24" s="14">
        <v>1</v>
      </c>
      <c r="CH24" s="14">
        <v>1</v>
      </c>
      <c r="CI24" s="14">
        <v>1</v>
      </c>
      <c r="CJ24" s="14">
        <v>1</v>
      </c>
      <c r="CK24" s="14">
        <v>0</v>
      </c>
      <c r="CL24" s="14">
        <v>0</v>
      </c>
      <c r="CM24" s="40" t="s">
        <v>59</v>
      </c>
      <c r="CN24" s="41"/>
      <c r="CO24" s="41"/>
      <c r="CP24" s="41"/>
      <c r="CQ24" s="41"/>
      <c r="CR24" s="41"/>
      <c r="CS24" s="41"/>
      <c r="CT24" s="42"/>
    </row>
    <row r="25" spans="1:98" ht="15" customHeight="1" x14ac:dyDescent="0.25">
      <c r="A25" s="14">
        <v>0</v>
      </c>
      <c r="B25" s="14">
        <v>1</v>
      </c>
      <c r="C25" s="14">
        <v>0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33" t="str">
        <f>"{{"&amp;I22&amp;"}"&amp;", "&amp;$I$1&amp;"},  //"&amp;I24&amp;":"&amp;M20&amp;":"&amp;O20</f>
        <v>{{0x0, 0x77, 0x8, 0x7F, 0x8, 0x77, 0x0, 0x0}, 8},  //Ж:208:150</v>
      </c>
      <c r="J25" s="34"/>
      <c r="K25" s="34"/>
      <c r="L25" s="34"/>
      <c r="M25" s="34"/>
      <c r="N25" s="34"/>
      <c r="O25" s="34"/>
      <c r="P25" s="35"/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1</v>
      </c>
      <c r="W25" s="14">
        <v>0</v>
      </c>
      <c r="X25" s="14">
        <v>0</v>
      </c>
      <c r="Y25" s="33" t="str">
        <f>"{{"&amp;Y22&amp;"}"&amp;", "&amp;$I$1&amp;"},  //"&amp;Y24&amp;":"&amp;AC20&amp;":"&amp;AE20</f>
        <v>{{0x0, 0x0, 0x49, 0x49, 0x49, 0x36, 0x0, 0x0}, 8},  //З:208:151</v>
      </c>
      <c r="Z25" s="34"/>
      <c r="AA25" s="34"/>
      <c r="AB25" s="34"/>
      <c r="AC25" s="34"/>
      <c r="AD25" s="34"/>
      <c r="AE25" s="34"/>
      <c r="AF25" s="35"/>
      <c r="AG25" s="14">
        <v>0</v>
      </c>
      <c r="AH25" s="14">
        <v>1</v>
      </c>
      <c r="AI25" s="14">
        <v>0</v>
      </c>
      <c r="AJ25" s="14">
        <v>1</v>
      </c>
      <c r="AK25" s="14">
        <v>0</v>
      </c>
      <c r="AL25" s="14">
        <v>1</v>
      </c>
      <c r="AM25" s="14">
        <v>0</v>
      </c>
      <c r="AN25" s="14">
        <v>0</v>
      </c>
      <c r="AO25" s="33" t="str">
        <f>"{{"&amp;AO22&amp;"}"&amp;", "&amp;$I$1&amp;"},  //"&amp;AO24&amp;":"&amp;AS20&amp;":"&amp;AU20</f>
        <v>{{0x0, 0x7F, 0x20, 0x10, 0x8, 0x7F, 0x0, 0x0}, 8},  //И:208:152</v>
      </c>
      <c r="AP25" s="34"/>
      <c r="AQ25" s="34"/>
      <c r="AR25" s="34"/>
      <c r="AS25" s="34"/>
      <c r="AT25" s="34"/>
      <c r="AU25" s="34"/>
      <c r="AV25" s="35"/>
      <c r="AW25" s="14">
        <v>0</v>
      </c>
      <c r="AX25" s="14">
        <v>1</v>
      </c>
      <c r="AY25" s="14">
        <v>0</v>
      </c>
      <c r="AZ25" s="14">
        <v>1</v>
      </c>
      <c r="BA25" s="14">
        <v>0</v>
      </c>
      <c r="BB25" s="14">
        <v>1</v>
      </c>
      <c r="BC25" s="14">
        <v>0</v>
      </c>
      <c r="BD25" s="14">
        <v>0</v>
      </c>
      <c r="BE25" s="33" t="str">
        <f>"{{"&amp;BE22&amp;"}"&amp;", "&amp;$I$1&amp;"},  //"&amp;BE24&amp;":"&amp;BI20&amp;":"&amp;BK20</f>
        <v>{{0x0, 0x7C, 0x21, 0x11, 0x9, 0x7C, 0x0, 0x0}, 8},  //Й:208:153</v>
      </c>
      <c r="BF25" s="34"/>
      <c r="BG25" s="34"/>
      <c r="BH25" s="34"/>
      <c r="BI25" s="34"/>
      <c r="BJ25" s="34"/>
      <c r="BK25" s="34"/>
      <c r="BL25" s="35"/>
      <c r="BO25" s="14">
        <v>0</v>
      </c>
      <c r="BP25" s="14">
        <v>1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33" t="str">
        <f>"{{"&amp;BW22&amp;"}"&amp;", "&amp;$I$1&amp;"},  //"&amp;BW24&amp;":"&amp;CA20&amp;":"&amp;CC20</f>
        <v>{{0x0, 0x3E, 0x49, 0x49, 0x49, 0x26, 0x0, 0x0}, 8},  //E:0:69</v>
      </c>
      <c r="BX25" s="34"/>
      <c r="BY25" s="34"/>
      <c r="BZ25" s="34"/>
      <c r="CA25" s="34"/>
      <c r="CB25" s="34"/>
      <c r="CC25" s="34"/>
      <c r="CD25" s="35"/>
      <c r="CE25" s="14">
        <v>0</v>
      </c>
      <c r="CF25" s="14">
        <v>0</v>
      </c>
      <c r="CG25" s="14">
        <v>1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33" t="str">
        <f>"{{"&amp;CM22&amp;"}"&amp;", "&amp;$I$1&amp;"},  //"&amp;CM24&amp;":"&amp;CQ20&amp;":"&amp;CS20</f>
        <v>{{0x0, 0x0, 0x7F, 0x9, 0x9, 0x9, 0x0, 0x0}, 8},  //F:0:70</v>
      </c>
      <c r="CN25" s="34"/>
      <c r="CO25" s="34"/>
      <c r="CP25" s="34"/>
      <c r="CQ25" s="34"/>
      <c r="CR25" s="34"/>
      <c r="CS25" s="34"/>
      <c r="CT25" s="35"/>
    </row>
    <row r="26" spans="1:98" x14ac:dyDescent="0.25">
      <c r="A26" s="14">
        <v>0</v>
      </c>
      <c r="B26" s="14">
        <v>1</v>
      </c>
      <c r="C26" s="14">
        <v>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33"/>
      <c r="J26" s="34"/>
      <c r="K26" s="34"/>
      <c r="L26" s="34"/>
      <c r="M26" s="34"/>
      <c r="N26" s="34"/>
      <c r="O26" s="34"/>
      <c r="P26" s="35"/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1</v>
      </c>
      <c r="W26" s="14">
        <v>0</v>
      </c>
      <c r="X26" s="14">
        <v>0</v>
      </c>
      <c r="Y26" s="33"/>
      <c r="Z26" s="34"/>
      <c r="AA26" s="34"/>
      <c r="AB26" s="34"/>
      <c r="AC26" s="34"/>
      <c r="AD26" s="34"/>
      <c r="AE26" s="34"/>
      <c r="AF26" s="35"/>
      <c r="AG26" s="14">
        <v>0</v>
      </c>
      <c r="AH26" s="14">
        <v>1</v>
      </c>
      <c r="AI26" s="14">
        <v>1</v>
      </c>
      <c r="AJ26" s="14">
        <v>0</v>
      </c>
      <c r="AK26" s="14">
        <v>0</v>
      </c>
      <c r="AL26" s="14">
        <v>1</v>
      </c>
      <c r="AM26" s="14">
        <v>0</v>
      </c>
      <c r="AN26" s="14">
        <v>0</v>
      </c>
      <c r="AO26" s="33"/>
      <c r="AP26" s="34"/>
      <c r="AQ26" s="34"/>
      <c r="AR26" s="34"/>
      <c r="AS26" s="34"/>
      <c r="AT26" s="34"/>
      <c r="AU26" s="34"/>
      <c r="AV26" s="35"/>
      <c r="AW26" s="14">
        <v>0</v>
      </c>
      <c r="AX26" s="14">
        <v>1</v>
      </c>
      <c r="AY26" s="14">
        <v>1</v>
      </c>
      <c r="AZ26" s="14">
        <v>0</v>
      </c>
      <c r="BA26" s="14">
        <v>0</v>
      </c>
      <c r="BB26" s="14">
        <v>1</v>
      </c>
      <c r="BC26" s="14">
        <v>0</v>
      </c>
      <c r="BD26" s="14">
        <v>0</v>
      </c>
      <c r="BE26" s="33"/>
      <c r="BF26" s="34"/>
      <c r="BG26" s="34"/>
      <c r="BH26" s="34"/>
      <c r="BI26" s="34"/>
      <c r="BJ26" s="34"/>
      <c r="BK26" s="34"/>
      <c r="BL26" s="35"/>
      <c r="BO26" s="14">
        <v>0</v>
      </c>
      <c r="BP26" s="14">
        <v>1</v>
      </c>
      <c r="BQ26" s="14">
        <v>0</v>
      </c>
      <c r="BR26" s="14">
        <v>0</v>
      </c>
      <c r="BS26" s="14">
        <v>0</v>
      </c>
      <c r="BT26" s="14">
        <v>1</v>
      </c>
      <c r="BU26" s="14">
        <v>0</v>
      </c>
      <c r="BV26" s="14">
        <v>0</v>
      </c>
      <c r="BW26" s="33"/>
      <c r="BX26" s="34"/>
      <c r="BY26" s="34"/>
      <c r="BZ26" s="34"/>
      <c r="CA26" s="34"/>
      <c r="CB26" s="34"/>
      <c r="CC26" s="34"/>
      <c r="CD26" s="35"/>
      <c r="CE26" s="14">
        <v>0</v>
      </c>
      <c r="CF26" s="14">
        <v>0</v>
      </c>
      <c r="CG26" s="14">
        <v>1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33"/>
      <c r="CN26" s="34"/>
      <c r="CO26" s="34"/>
      <c r="CP26" s="34"/>
      <c r="CQ26" s="34"/>
      <c r="CR26" s="34"/>
      <c r="CS26" s="34"/>
      <c r="CT26" s="35"/>
    </row>
    <row r="27" spans="1:98" x14ac:dyDescent="0.25">
      <c r="A27" s="14">
        <v>0</v>
      </c>
      <c r="B27" s="14">
        <v>1</v>
      </c>
      <c r="C27" s="14">
        <v>0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40" t="s">
        <v>48</v>
      </c>
      <c r="J27" s="41"/>
      <c r="K27" s="41"/>
      <c r="L27" s="41"/>
      <c r="M27" s="44">
        <v>208</v>
      </c>
      <c r="N27" s="44"/>
      <c r="O27" s="44">
        <v>182</v>
      </c>
      <c r="P27" s="45"/>
      <c r="Q27" s="14">
        <v>0</v>
      </c>
      <c r="R27" s="14">
        <v>0</v>
      </c>
      <c r="S27" s="14">
        <v>1</v>
      </c>
      <c r="T27" s="14">
        <v>1</v>
      </c>
      <c r="U27" s="14">
        <v>1</v>
      </c>
      <c r="V27" s="14">
        <v>0</v>
      </c>
      <c r="W27" s="14">
        <v>0</v>
      </c>
      <c r="X27" s="14">
        <v>0</v>
      </c>
      <c r="Y27" s="40" t="s">
        <v>48</v>
      </c>
      <c r="Z27" s="41"/>
      <c r="AA27" s="41"/>
      <c r="AB27" s="41"/>
      <c r="AC27" s="44">
        <v>208</v>
      </c>
      <c r="AD27" s="44"/>
      <c r="AE27" s="44">
        <v>183</v>
      </c>
      <c r="AF27" s="45"/>
      <c r="AG27" s="14">
        <v>0</v>
      </c>
      <c r="AH27" s="14">
        <v>1</v>
      </c>
      <c r="AI27" s="14">
        <v>0</v>
      </c>
      <c r="AJ27" s="14">
        <v>0</v>
      </c>
      <c r="AK27" s="14">
        <v>0</v>
      </c>
      <c r="AL27" s="14">
        <v>1</v>
      </c>
      <c r="AM27" s="14">
        <v>0</v>
      </c>
      <c r="AN27" s="14">
        <v>0</v>
      </c>
      <c r="AO27" s="40" t="s">
        <v>48</v>
      </c>
      <c r="AP27" s="41"/>
      <c r="AQ27" s="41"/>
      <c r="AR27" s="41"/>
      <c r="AS27" s="44">
        <v>208</v>
      </c>
      <c r="AT27" s="44"/>
      <c r="AU27" s="44">
        <v>184</v>
      </c>
      <c r="AV27" s="45"/>
      <c r="AW27" s="14">
        <v>0</v>
      </c>
      <c r="AX27" s="14">
        <v>1</v>
      </c>
      <c r="AY27" s="14">
        <v>0</v>
      </c>
      <c r="AZ27" s="14">
        <v>0</v>
      </c>
      <c r="BA27" s="14">
        <v>0</v>
      </c>
      <c r="BB27" s="14">
        <v>1</v>
      </c>
      <c r="BC27" s="14">
        <v>0</v>
      </c>
      <c r="BD27" s="14">
        <v>0</v>
      </c>
      <c r="BE27" s="40" t="s">
        <v>48</v>
      </c>
      <c r="BF27" s="41"/>
      <c r="BG27" s="41"/>
      <c r="BH27" s="41"/>
      <c r="BI27" s="44">
        <v>208</v>
      </c>
      <c r="BJ27" s="44"/>
      <c r="BK27" s="44">
        <v>185</v>
      </c>
      <c r="BL27" s="45"/>
      <c r="BO27" s="14">
        <v>0</v>
      </c>
      <c r="BP27" s="14">
        <v>0</v>
      </c>
      <c r="BQ27" s="14">
        <v>1</v>
      </c>
      <c r="BR27" s="14">
        <v>1</v>
      </c>
      <c r="BS27" s="14">
        <v>1</v>
      </c>
      <c r="BT27" s="14">
        <v>0</v>
      </c>
      <c r="BU27" s="14">
        <v>0</v>
      </c>
      <c r="BV27" s="14">
        <v>0</v>
      </c>
      <c r="BW27" s="40" t="s">
        <v>48</v>
      </c>
      <c r="BX27" s="41"/>
      <c r="BY27" s="41"/>
      <c r="BZ27" s="41"/>
      <c r="CA27" s="44">
        <v>0</v>
      </c>
      <c r="CB27" s="44"/>
      <c r="CC27" s="44">
        <v>101</v>
      </c>
      <c r="CD27" s="45"/>
      <c r="CE27" s="14">
        <v>0</v>
      </c>
      <c r="CF27" s="14">
        <v>0</v>
      </c>
      <c r="CG27" s="14">
        <v>1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40" t="s">
        <v>48</v>
      </c>
      <c r="CN27" s="41"/>
      <c r="CO27" s="41"/>
      <c r="CP27" s="41"/>
      <c r="CQ27" s="44">
        <v>0</v>
      </c>
      <c r="CR27" s="44"/>
      <c r="CS27" s="44">
        <v>102</v>
      </c>
      <c r="CT27" s="45"/>
    </row>
    <row r="28" spans="1:98" x14ac:dyDescent="0.25">
      <c r="A28" s="15">
        <v>0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2"/>
      <c r="J28" s="12"/>
      <c r="K28" s="12"/>
      <c r="L28" s="12"/>
      <c r="M28" s="12"/>
      <c r="N28" s="12"/>
      <c r="O28" s="12"/>
      <c r="P28" s="12"/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2"/>
      <c r="Z28" s="12"/>
      <c r="AA28" s="12"/>
      <c r="AB28" s="12"/>
      <c r="AC28" s="12"/>
      <c r="AD28" s="12"/>
      <c r="AE28" s="12"/>
      <c r="AF28" s="13"/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2"/>
      <c r="AP28" s="12"/>
      <c r="AQ28" s="12"/>
      <c r="AR28" s="12"/>
      <c r="AS28" s="12"/>
      <c r="AT28" s="12"/>
      <c r="AU28" s="12"/>
      <c r="AV28" s="12"/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2"/>
      <c r="BF28" s="12"/>
      <c r="BG28" s="12"/>
      <c r="BH28" s="12"/>
      <c r="BI28" s="12"/>
      <c r="BJ28" s="12"/>
      <c r="BK28" s="12"/>
      <c r="BL28" s="12"/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2"/>
      <c r="BX28" s="12"/>
      <c r="BY28" s="12"/>
      <c r="BZ28" s="12"/>
      <c r="CA28" s="12"/>
      <c r="CB28" s="12"/>
      <c r="CC28" s="12"/>
      <c r="CD28" s="12"/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2"/>
      <c r="CN28" s="12"/>
      <c r="CO28" s="12"/>
      <c r="CP28" s="12"/>
      <c r="CQ28" s="12"/>
      <c r="CR28" s="12"/>
      <c r="CS28" s="12"/>
      <c r="CT28" s="12"/>
    </row>
    <row r="29" spans="1:98" s="5" customFormat="1" x14ac:dyDescent="0.25">
      <c r="A29" s="10">
        <v>1</v>
      </c>
      <c r="B29" s="10">
        <v>2</v>
      </c>
      <c r="C29" s="10">
        <v>3</v>
      </c>
      <c r="D29" s="10">
        <v>4</v>
      </c>
      <c r="E29" s="10">
        <v>5</v>
      </c>
      <c r="F29" s="10">
        <v>6</v>
      </c>
      <c r="G29" s="10">
        <v>7</v>
      </c>
      <c r="H29" s="10">
        <v>8</v>
      </c>
      <c r="I29" s="38" t="s">
        <v>0</v>
      </c>
      <c r="J29" s="38"/>
      <c r="K29" s="38"/>
      <c r="L29" s="38"/>
      <c r="M29" s="39">
        <v>208</v>
      </c>
      <c r="N29" s="39"/>
      <c r="O29" s="39">
        <v>154</v>
      </c>
      <c r="P29" s="39"/>
      <c r="Q29" s="10">
        <v>1</v>
      </c>
      <c r="R29" s="10">
        <v>2</v>
      </c>
      <c r="S29" s="10">
        <v>3</v>
      </c>
      <c r="T29" s="10">
        <v>4</v>
      </c>
      <c r="U29" s="10">
        <v>5</v>
      </c>
      <c r="V29" s="10">
        <v>6</v>
      </c>
      <c r="W29" s="10">
        <v>7</v>
      </c>
      <c r="X29" s="10">
        <v>8</v>
      </c>
      <c r="Y29" s="38" t="s">
        <v>0</v>
      </c>
      <c r="Z29" s="38"/>
      <c r="AA29" s="38"/>
      <c r="AB29" s="38"/>
      <c r="AC29" s="39">
        <v>208</v>
      </c>
      <c r="AD29" s="39"/>
      <c r="AE29" s="39">
        <v>155</v>
      </c>
      <c r="AF29" s="39"/>
      <c r="AG29" s="10">
        <v>1</v>
      </c>
      <c r="AH29" s="10">
        <v>2</v>
      </c>
      <c r="AI29" s="10">
        <v>3</v>
      </c>
      <c r="AJ29" s="10">
        <v>4</v>
      </c>
      <c r="AK29" s="10">
        <v>5</v>
      </c>
      <c r="AL29" s="10">
        <v>6</v>
      </c>
      <c r="AM29" s="10">
        <v>7</v>
      </c>
      <c r="AN29" s="10">
        <v>8</v>
      </c>
      <c r="AO29" s="38" t="s">
        <v>0</v>
      </c>
      <c r="AP29" s="38"/>
      <c r="AQ29" s="38"/>
      <c r="AR29" s="38"/>
      <c r="AS29" s="39">
        <v>208</v>
      </c>
      <c r="AT29" s="39"/>
      <c r="AU29" s="39">
        <v>156</v>
      </c>
      <c r="AV29" s="39"/>
      <c r="AW29" s="10">
        <v>1</v>
      </c>
      <c r="AX29" s="10">
        <v>2</v>
      </c>
      <c r="AY29" s="10">
        <v>3</v>
      </c>
      <c r="AZ29" s="10">
        <v>4</v>
      </c>
      <c r="BA29" s="10">
        <v>5</v>
      </c>
      <c r="BB29" s="10">
        <v>6</v>
      </c>
      <c r="BC29" s="10">
        <v>7</v>
      </c>
      <c r="BD29" s="10">
        <v>8</v>
      </c>
      <c r="BE29" s="38" t="s">
        <v>0</v>
      </c>
      <c r="BF29" s="38"/>
      <c r="BG29" s="38"/>
      <c r="BH29" s="38"/>
      <c r="BI29" s="39">
        <v>208</v>
      </c>
      <c r="BJ29" s="39"/>
      <c r="BK29" s="39">
        <v>157</v>
      </c>
      <c r="BL29" s="39"/>
      <c r="BM29" s="20"/>
      <c r="BN29" s="20"/>
      <c r="BO29" s="10">
        <v>1</v>
      </c>
      <c r="BP29" s="10">
        <v>2</v>
      </c>
      <c r="BQ29" s="10">
        <v>3</v>
      </c>
      <c r="BR29" s="10">
        <v>4</v>
      </c>
      <c r="BS29" s="10">
        <v>5</v>
      </c>
      <c r="BT29" s="10">
        <v>6</v>
      </c>
      <c r="BU29" s="10">
        <v>7</v>
      </c>
      <c r="BV29" s="10">
        <v>8</v>
      </c>
      <c r="BW29" s="38" t="s">
        <v>0</v>
      </c>
      <c r="BX29" s="38"/>
      <c r="BY29" s="38"/>
      <c r="BZ29" s="38"/>
      <c r="CA29" s="39">
        <v>0</v>
      </c>
      <c r="CB29" s="39"/>
      <c r="CC29" s="39">
        <v>71</v>
      </c>
      <c r="CD29" s="39"/>
      <c r="CE29" s="10">
        <v>1</v>
      </c>
      <c r="CF29" s="10">
        <v>2</v>
      </c>
      <c r="CG29" s="10">
        <v>3</v>
      </c>
      <c r="CH29" s="10">
        <v>4</v>
      </c>
      <c r="CI29" s="10">
        <v>5</v>
      </c>
      <c r="CJ29" s="10">
        <v>6</v>
      </c>
      <c r="CK29" s="10">
        <v>7</v>
      </c>
      <c r="CL29" s="10">
        <v>8</v>
      </c>
      <c r="CM29" s="38" t="s">
        <v>0</v>
      </c>
      <c r="CN29" s="38"/>
      <c r="CO29" s="38"/>
      <c r="CP29" s="38"/>
      <c r="CQ29" s="39">
        <v>0</v>
      </c>
      <c r="CR29" s="39"/>
      <c r="CS29" s="39">
        <v>72</v>
      </c>
      <c r="CT29" s="39"/>
    </row>
    <row r="30" spans="1:98" x14ac:dyDescent="0.25">
      <c r="A30" s="11">
        <v>0</v>
      </c>
      <c r="B30" s="11">
        <v>0</v>
      </c>
      <c r="C30" s="11">
        <v>1</v>
      </c>
      <c r="D30" s="11">
        <v>0</v>
      </c>
      <c r="E30" s="11">
        <v>0</v>
      </c>
      <c r="F30" s="11">
        <v>1</v>
      </c>
      <c r="G30" s="11">
        <v>0</v>
      </c>
      <c r="H30" s="11">
        <v>0</v>
      </c>
      <c r="I30" s="12" t="str">
        <f>BIN2HEX(A37&amp;A36&amp;A35&amp;A34&amp;A33&amp;A32&amp;A31&amp;A30)</f>
        <v>0</v>
      </c>
      <c r="J30" s="12" t="str">
        <f t="shared" ref="J30" si="103">BIN2HEX(B37&amp;B36&amp;B35&amp;B34&amp;B33&amp;B32&amp;B31&amp;B30)</f>
        <v>0</v>
      </c>
      <c r="K30" s="12" t="str">
        <f t="shared" ref="K30" si="104">BIN2HEX(C37&amp;C36&amp;C35&amp;C34&amp;C33&amp;C32&amp;C31&amp;C30)</f>
        <v>7F</v>
      </c>
      <c r="L30" s="12" t="str">
        <f t="shared" ref="L30" si="105">BIN2HEX(D37&amp;D36&amp;D35&amp;D34&amp;D33&amp;D32&amp;D31&amp;D30)</f>
        <v>8</v>
      </c>
      <c r="M30" s="12" t="str">
        <f t="shared" ref="M30" si="106">BIN2HEX(E37&amp;E36&amp;E35&amp;E34&amp;E33&amp;E32&amp;E31&amp;E30)</f>
        <v>14</v>
      </c>
      <c r="N30" s="12" t="str">
        <f t="shared" ref="N30" si="107">BIN2HEX(F37&amp;F36&amp;F35&amp;F34&amp;F33&amp;F32&amp;F31&amp;F30)</f>
        <v>63</v>
      </c>
      <c r="O30" s="12" t="str">
        <f t="shared" ref="O30" si="108">BIN2HEX(G37&amp;G36&amp;G35&amp;G34&amp;G33&amp;G32&amp;G31&amp;G30)</f>
        <v>0</v>
      </c>
      <c r="P30" s="12" t="str">
        <f>BIN2HEX(H37&amp;H36&amp;H35&amp;H34&amp;H33&amp;H32&amp;H31&amp;H30)</f>
        <v>0</v>
      </c>
      <c r="Q30" s="11">
        <v>0</v>
      </c>
      <c r="R30" s="11">
        <v>0</v>
      </c>
      <c r="S30" s="11">
        <v>0</v>
      </c>
      <c r="T30" s="11">
        <v>1</v>
      </c>
      <c r="U30" s="11">
        <v>1</v>
      </c>
      <c r="V30" s="11">
        <v>0</v>
      </c>
      <c r="W30" s="11">
        <v>0</v>
      </c>
      <c r="X30" s="11">
        <v>0</v>
      </c>
      <c r="Y30" s="12" t="str">
        <f>BIN2HEX(Q37&amp;Q36&amp;Q35&amp;Q34&amp;Q33&amp;Q32&amp;Q31&amp;Q30)</f>
        <v>0</v>
      </c>
      <c r="Z30" s="12" t="str">
        <f t="shared" ref="Z30" si="109">BIN2HEX(R37&amp;R36&amp;R35&amp;R34&amp;R33&amp;R32&amp;R31&amp;R30)</f>
        <v>40</v>
      </c>
      <c r="AA30" s="12" t="str">
        <f t="shared" ref="AA30" si="110">BIN2HEX(S37&amp;S36&amp;S35&amp;S34&amp;S33&amp;S32&amp;S31&amp;S30)</f>
        <v>3E</v>
      </c>
      <c r="AB30" s="12" t="str">
        <f t="shared" ref="AB30" si="111">BIN2HEX(T37&amp;T36&amp;T35&amp;T34&amp;T33&amp;T32&amp;T31&amp;T30)</f>
        <v>1</v>
      </c>
      <c r="AC30" s="12" t="str">
        <f t="shared" ref="AC30" si="112">BIN2HEX(U37&amp;U36&amp;U35&amp;U34&amp;U33&amp;U32&amp;U31&amp;U30)</f>
        <v>1</v>
      </c>
      <c r="AD30" s="12" t="str">
        <f t="shared" ref="AD30" si="113">BIN2HEX(V37&amp;V36&amp;V35&amp;V34&amp;V33&amp;V32&amp;V31&amp;V30)</f>
        <v>7E</v>
      </c>
      <c r="AE30" s="12" t="str">
        <f t="shared" ref="AE30" si="114">BIN2HEX(W37&amp;W36&amp;W35&amp;W34&amp;W33&amp;W32&amp;W31&amp;W30)</f>
        <v>0</v>
      </c>
      <c r="AF30" s="13" t="str">
        <f>BIN2HEX(X37&amp;X36&amp;X35&amp;X34&amp;X33&amp;X32&amp;X31&amp;X30)</f>
        <v>0</v>
      </c>
      <c r="AG30" s="11">
        <v>0</v>
      </c>
      <c r="AH30" s="11">
        <v>1</v>
      </c>
      <c r="AI30" s="11">
        <v>0</v>
      </c>
      <c r="AJ30" s="11">
        <v>0</v>
      </c>
      <c r="AK30" s="11">
        <v>0</v>
      </c>
      <c r="AL30" s="11">
        <v>1</v>
      </c>
      <c r="AM30" s="11">
        <v>0</v>
      </c>
      <c r="AN30" s="11">
        <v>0</v>
      </c>
      <c r="AO30" s="12" t="str">
        <f>BIN2HEX(AG37&amp;AG36&amp;AG35&amp;AG34&amp;AG33&amp;AG32&amp;AG31&amp;AG30)</f>
        <v>0</v>
      </c>
      <c r="AP30" s="12" t="str">
        <f t="shared" ref="AP30" si="115">BIN2HEX(AH37&amp;AH36&amp;AH35&amp;AH34&amp;AH33&amp;AH32&amp;AH31&amp;AH30)</f>
        <v>7F</v>
      </c>
      <c r="AQ30" s="12" t="str">
        <f t="shared" ref="AQ30" si="116">BIN2HEX(AI37&amp;AI36&amp;AI35&amp;AI34&amp;AI33&amp;AI32&amp;AI31&amp;AI30)</f>
        <v>2</v>
      </c>
      <c r="AR30" s="12" t="str">
        <f t="shared" ref="AR30" si="117">BIN2HEX(AJ37&amp;AJ36&amp;AJ35&amp;AJ34&amp;AJ33&amp;AJ32&amp;AJ31&amp;AJ30)</f>
        <v>C</v>
      </c>
      <c r="AS30" s="12" t="str">
        <f t="shared" ref="AS30" si="118">BIN2HEX(AK37&amp;AK36&amp;AK35&amp;AK34&amp;AK33&amp;AK32&amp;AK31&amp;AK30)</f>
        <v>2</v>
      </c>
      <c r="AT30" s="12" t="str">
        <f t="shared" ref="AT30" si="119">BIN2HEX(AL37&amp;AL36&amp;AL35&amp;AL34&amp;AL33&amp;AL32&amp;AL31&amp;AL30)</f>
        <v>7F</v>
      </c>
      <c r="AU30" s="12" t="str">
        <f t="shared" ref="AU30" si="120">BIN2HEX(AM37&amp;AM36&amp;AM35&amp;AM34&amp;AM33&amp;AM32&amp;AM31&amp;AM30)</f>
        <v>0</v>
      </c>
      <c r="AV30" s="12" t="str">
        <f>BIN2HEX(AN37&amp;AN36&amp;AN35&amp;AN34&amp;AN33&amp;AN32&amp;AN31&amp;AN30)</f>
        <v>0</v>
      </c>
      <c r="AW30" s="11">
        <v>0</v>
      </c>
      <c r="AX30" s="11">
        <v>1</v>
      </c>
      <c r="AY30" s="11">
        <v>0</v>
      </c>
      <c r="AZ30" s="11">
        <v>0</v>
      </c>
      <c r="BA30" s="11">
        <v>0</v>
      </c>
      <c r="BB30" s="11">
        <v>1</v>
      </c>
      <c r="BC30" s="11">
        <v>0</v>
      </c>
      <c r="BD30" s="11">
        <v>0</v>
      </c>
      <c r="BE30" s="12" t="str">
        <f>BIN2HEX(AW37&amp;AW36&amp;AW35&amp;AW34&amp;AW33&amp;AW32&amp;AW31&amp;AW30)</f>
        <v>0</v>
      </c>
      <c r="BF30" s="12" t="str">
        <f t="shared" ref="BF30" si="121">BIN2HEX(AX37&amp;AX36&amp;AX35&amp;AX34&amp;AX33&amp;AX32&amp;AX31&amp;AX30)</f>
        <v>7F</v>
      </c>
      <c r="BG30" s="12" t="str">
        <f t="shared" ref="BG30" si="122">BIN2HEX(AY37&amp;AY36&amp;AY35&amp;AY34&amp;AY33&amp;AY32&amp;AY31&amp;AY30)</f>
        <v>8</v>
      </c>
      <c r="BH30" s="12" t="str">
        <f t="shared" ref="BH30" si="123">BIN2HEX(AZ37&amp;AZ36&amp;AZ35&amp;AZ34&amp;AZ33&amp;AZ32&amp;AZ31&amp;AZ30)</f>
        <v>8</v>
      </c>
      <c r="BI30" s="12" t="str">
        <f t="shared" ref="BI30" si="124">BIN2HEX(BA37&amp;BA36&amp;BA35&amp;BA34&amp;BA33&amp;BA32&amp;BA31&amp;BA30)</f>
        <v>8</v>
      </c>
      <c r="BJ30" s="12" t="str">
        <f>BIN2HEX(BB37&amp;BB36&amp;BB35&amp;BB34&amp;BB33&amp;BB32&amp;BB31&amp;BB30)</f>
        <v>7F</v>
      </c>
      <c r="BK30" s="12" t="str">
        <f>BIN2HEX(BC37&amp;BC36&amp;BC35&amp;BC34&amp;BC33&amp;BC32&amp;BC31&amp;BC30)</f>
        <v>0</v>
      </c>
      <c r="BL30" s="12" t="str">
        <f>BIN2HEX(BD37&amp;BD36&amp;BD35&amp;BD34&amp;BD33&amp;BD32&amp;BD31&amp;BD30)</f>
        <v>0</v>
      </c>
      <c r="BO30" s="11">
        <v>0</v>
      </c>
      <c r="BP30" s="11">
        <v>0</v>
      </c>
      <c r="BQ30" s="11">
        <v>1</v>
      </c>
      <c r="BR30" s="11">
        <v>1</v>
      </c>
      <c r="BS30" s="11">
        <v>1</v>
      </c>
      <c r="BT30" s="11">
        <v>0</v>
      </c>
      <c r="BU30" s="11">
        <v>0</v>
      </c>
      <c r="BV30" s="11">
        <v>0</v>
      </c>
      <c r="BW30" s="12" t="str">
        <f>BIN2HEX(BO37&amp;BO36&amp;BO35&amp;BO34&amp;BO33&amp;BO32&amp;BO31&amp;BO30)</f>
        <v>0</v>
      </c>
      <c r="BX30" s="12" t="str">
        <f t="shared" ref="BX30" si="125">BIN2HEX(BP37&amp;BP36&amp;BP35&amp;BP34&amp;BP33&amp;BP32&amp;BP31&amp;BP30)</f>
        <v>3E</v>
      </c>
      <c r="BY30" s="12" t="str">
        <f t="shared" ref="BY30" si="126">BIN2HEX(BQ37&amp;BQ36&amp;BQ35&amp;BQ34&amp;BQ33&amp;BQ32&amp;BQ31&amp;BQ30)</f>
        <v>41</v>
      </c>
      <c r="BZ30" s="12" t="str">
        <f t="shared" ref="BZ30" si="127">BIN2HEX(BR37&amp;BR36&amp;BR35&amp;BR34&amp;BR33&amp;BR32&amp;BR31&amp;BR30)</f>
        <v>49</v>
      </c>
      <c r="CA30" s="12" t="str">
        <f t="shared" ref="CA30" si="128">BIN2HEX(BS37&amp;BS36&amp;BS35&amp;BS34&amp;BS33&amp;BS32&amp;BS31&amp;BS30)</f>
        <v>49</v>
      </c>
      <c r="CB30" s="12" t="str">
        <f t="shared" ref="CB30" si="129">BIN2HEX(BT37&amp;BT36&amp;BT35&amp;BT34&amp;BT33&amp;BT32&amp;BT31&amp;BT30)</f>
        <v>3A</v>
      </c>
      <c r="CC30" s="12" t="str">
        <f t="shared" ref="CC30" si="130">BIN2HEX(BU37&amp;BU36&amp;BU35&amp;BU34&amp;BU33&amp;BU32&amp;BU31&amp;BU30)</f>
        <v>0</v>
      </c>
      <c r="CD30" s="12" t="str">
        <f>BIN2HEX(BV37&amp;BV36&amp;BV35&amp;BV34&amp;BV33&amp;BV32&amp;BV31&amp;BV30)</f>
        <v>0</v>
      </c>
      <c r="CE30" s="11">
        <v>0</v>
      </c>
      <c r="CF30" s="11">
        <v>1</v>
      </c>
      <c r="CG30" s="11">
        <v>0</v>
      </c>
      <c r="CH30" s="11">
        <v>0</v>
      </c>
      <c r="CI30" s="11">
        <v>0</v>
      </c>
      <c r="CJ30" s="11">
        <v>1</v>
      </c>
      <c r="CK30" s="11">
        <v>0</v>
      </c>
      <c r="CL30" s="11">
        <v>0</v>
      </c>
      <c r="CM30" s="12" t="str">
        <f>BIN2HEX(CE37&amp;CE36&amp;CE35&amp;CE34&amp;CE33&amp;CE32&amp;CE31&amp;CE30)</f>
        <v>0</v>
      </c>
      <c r="CN30" s="12" t="str">
        <f t="shared" ref="CN30" si="131">BIN2HEX(CF37&amp;CF36&amp;CF35&amp;CF34&amp;CF33&amp;CF32&amp;CF31&amp;CF30)</f>
        <v>7F</v>
      </c>
      <c r="CO30" s="12" t="str">
        <f t="shared" ref="CO30" si="132">BIN2HEX(CG37&amp;CG36&amp;CG35&amp;CG34&amp;CG33&amp;CG32&amp;CG31&amp;CG30)</f>
        <v>8</v>
      </c>
      <c r="CP30" s="12" t="str">
        <f t="shared" ref="CP30" si="133">BIN2HEX(CH37&amp;CH36&amp;CH35&amp;CH34&amp;CH33&amp;CH32&amp;CH31&amp;CH30)</f>
        <v>8</v>
      </c>
      <c r="CQ30" s="12" t="str">
        <f t="shared" ref="CQ30" si="134">BIN2HEX(CI37&amp;CI36&amp;CI35&amp;CI34&amp;CI33&amp;CI32&amp;CI31&amp;CI30)</f>
        <v>8</v>
      </c>
      <c r="CR30" s="12" t="str">
        <f>BIN2HEX(CJ37&amp;CJ36&amp;CJ35&amp;CJ34&amp;CJ33&amp;CJ32&amp;CJ31&amp;CJ30)</f>
        <v>7F</v>
      </c>
      <c r="CS30" s="12" t="str">
        <f>BIN2HEX(CK37&amp;CK36&amp;CK35&amp;CK34&amp;CK33&amp;CK32&amp;CK31&amp;CK30)</f>
        <v>0</v>
      </c>
      <c r="CT30" s="12" t="str">
        <f>BIN2HEX(CL37&amp;CL36&amp;CL35&amp;CL34&amp;CL33&amp;CL32&amp;CL31&amp;CL30)</f>
        <v>0</v>
      </c>
    </row>
    <row r="31" spans="1:98" ht="15" customHeight="1" x14ac:dyDescent="0.25">
      <c r="A31" s="14">
        <v>0</v>
      </c>
      <c r="B31" s="14">
        <v>0</v>
      </c>
      <c r="C31" s="14">
        <v>1</v>
      </c>
      <c r="D31" s="14">
        <v>0</v>
      </c>
      <c r="E31" s="14">
        <v>0</v>
      </c>
      <c r="F31" s="14">
        <v>1</v>
      </c>
      <c r="G31" s="14">
        <v>0</v>
      </c>
      <c r="H31" s="14">
        <v>0</v>
      </c>
      <c r="I31" s="36" t="str">
        <f>"0x"&amp;I30&amp;", 0x"&amp;J30&amp;", 0x"&amp;K30&amp;", 0x"&amp;L30&amp;", 0x"&amp;M30&amp;", 0x"&amp;N30&amp;", 0x"&amp;O30&amp;", 0x"&amp;P30</f>
        <v>0x0, 0x0, 0x7F, 0x8, 0x14, 0x63, 0x0, 0x0</v>
      </c>
      <c r="J31" s="34"/>
      <c r="K31" s="34"/>
      <c r="L31" s="34"/>
      <c r="M31" s="34"/>
      <c r="N31" s="34"/>
      <c r="O31" s="34"/>
      <c r="P31" s="34"/>
      <c r="Q31" s="14">
        <v>0</v>
      </c>
      <c r="R31" s="14">
        <v>0</v>
      </c>
      <c r="S31" s="14">
        <v>1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36" t="str">
        <f>"0x"&amp;Y30&amp;", 0x"&amp;Z30&amp;", 0x"&amp;AA30&amp;", 0x"&amp;AB30&amp;", 0x"&amp;AC30&amp;", 0x"&amp;AD30&amp;", 0x"&amp;AE30&amp;", 0x"&amp;AF30</f>
        <v>0x0, 0x40, 0x3E, 0x1, 0x1, 0x7E, 0x0, 0x0</v>
      </c>
      <c r="Z31" s="34"/>
      <c r="AA31" s="34"/>
      <c r="AB31" s="34"/>
      <c r="AC31" s="34"/>
      <c r="AD31" s="34"/>
      <c r="AE31" s="34"/>
      <c r="AF31" s="37"/>
      <c r="AG31" s="14">
        <v>0</v>
      </c>
      <c r="AH31" s="14">
        <v>1</v>
      </c>
      <c r="AI31" s="14">
        <v>1</v>
      </c>
      <c r="AJ31" s="14">
        <v>0</v>
      </c>
      <c r="AK31" s="14">
        <v>1</v>
      </c>
      <c r="AL31" s="14">
        <v>1</v>
      </c>
      <c r="AM31" s="14">
        <v>0</v>
      </c>
      <c r="AN31" s="14">
        <v>0</v>
      </c>
      <c r="AO31" s="36" t="str">
        <f>"0x"&amp;AO30&amp;", 0x"&amp;AP30&amp;", 0x"&amp;AQ30&amp;", 0x"&amp;AR30&amp;", 0x"&amp;AS30&amp;", 0x"&amp;AT30&amp;", 0x"&amp;AU30&amp;", 0x"&amp;AV30</f>
        <v>0x0, 0x7F, 0x2, 0xC, 0x2, 0x7F, 0x0, 0x0</v>
      </c>
      <c r="AP31" s="34"/>
      <c r="AQ31" s="34"/>
      <c r="AR31" s="34"/>
      <c r="AS31" s="34"/>
      <c r="AT31" s="34"/>
      <c r="AU31" s="34"/>
      <c r="AV31" s="34"/>
      <c r="AW31" s="14">
        <v>0</v>
      </c>
      <c r="AX31" s="14">
        <v>1</v>
      </c>
      <c r="AY31" s="14">
        <v>0</v>
      </c>
      <c r="AZ31" s="14">
        <v>0</v>
      </c>
      <c r="BA31" s="14">
        <v>0</v>
      </c>
      <c r="BB31" s="14">
        <v>1</v>
      </c>
      <c r="BC31" s="14">
        <v>0</v>
      </c>
      <c r="BD31" s="14">
        <v>0</v>
      </c>
      <c r="BE31" s="36" t="str">
        <f>"0x"&amp;BE30&amp;", 0x"&amp;BF30&amp;", 0x"&amp;BG30&amp;", 0x"&amp;BH30&amp;", 0x"&amp;BI30&amp;", 0x"&amp;BJ30&amp;", 0x"&amp;BK30&amp;", 0x"&amp;BL30</f>
        <v>0x0, 0x7F, 0x8, 0x8, 0x8, 0x7F, 0x0, 0x0</v>
      </c>
      <c r="BF31" s="34"/>
      <c r="BG31" s="34"/>
      <c r="BH31" s="34"/>
      <c r="BI31" s="34"/>
      <c r="BJ31" s="34"/>
      <c r="BK31" s="34"/>
      <c r="BL31" s="37"/>
      <c r="BO31" s="14">
        <v>0</v>
      </c>
      <c r="BP31" s="14">
        <v>1</v>
      </c>
      <c r="BQ31" s="14">
        <v>0</v>
      </c>
      <c r="BR31" s="14">
        <v>0</v>
      </c>
      <c r="BS31" s="14">
        <v>0</v>
      </c>
      <c r="BT31" s="14">
        <v>1</v>
      </c>
      <c r="BU31" s="14">
        <v>0</v>
      </c>
      <c r="BV31" s="14">
        <v>0</v>
      </c>
      <c r="BW31" s="36" t="str">
        <f>"0x"&amp;BW30&amp;", 0x"&amp;BX30&amp;", 0x"&amp;BY30&amp;", 0x"&amp;BZ30&amp;", 0x"&amp;CA30&amp;", 0x"&amp;CB30&amp;", 0x"&amp;CC30&amp;", 0x"&amp;CD30</f>
        <v>0x0, 0x3E, 0x41, 0x49, 0x49, 0x3A, 0x0, 0x0</v>
      </c>
      <c r="BX31" s="34"/>
      <c r="BY31" s="34"/>
      <c r="BZ31" s="34"/>
      <c r="CA31" s="34"/>
      <c r="CB31" s="34"/>
      <c r="CC31" s="34"/>
      <c r="CD31" s="34"/>
      <c r="CE31" s="14">
        <v>0</v>
      </c>
      <c r="CF31" s="14">
        <v>1</v>
      </c>
      <c r="CG31" s="14">
        <v>0</v>
      </c>
      <c r="CH31" s="14">
        <v>0</v>
      </c>
      <c r="CI31" s="14">
        <v>0</v>
      </c>
      <c r="CJ31" s="14">
        <v>1</v>
      </c>
      <c r="CK31" s="14">
        <v>0</v>
      </c>
      <c r="CL31" s="14">
        <v>0</v>
      </c>
      <c r="CM31" s="36" t="str">
        <f>"0x"&amp;CM30&amp;", 0x"&amp;CN30&amp;", 0x"&amp;CO30&amp;", 0x"&amp;CP30&amp;", 0x"&amp;CQ30&amp;", 0x"&amp;CR30&amp;", 0x"&amp;CS30&amp;", 0x"&amp;CT30</f>
        <v>0x0, 0x7F, 0x8, 0x8, 0x8, 0x7F, 0x0, 0x0</v>
      </c>
      <c r="CN31" s="34"/>
      <c r="CO31" s="34"/>
      <c r="CP31" s="34"/>
      <c r="CQ31" s="34"/>
      <c r="CR31" s="34"/>
      <c r="CS31" s="34"/>
      <c r="CT31" s="37"/>
    </row>
    <row r="32" spans="1:98" x14ac:dyDescent="0.25">
      <c r="A32" s="14">
        <v>0</v>
      </c>
      <c r="B32" s="14">
        <v>0</v>
      </c>
      <c r="C32" s="14">
        <v>1</v>
      </c>
      <c r="D32" s="14">
        <v>0</v>
      </c>
      <c r="E32" s="14">
        <v>1</v>
      </c>
      <c r="F32" s="14">
        <v>0</v>
      </c>
      <c r="G32" s="14">
        <v>0</v>
      </c>
      <c r="H32" s="14">
        <v>0</v>
      </c>
      <c r="I32" s="36"/>
      <c r="J32" s="34"/>
      <c r="K32" s="34"/>
      <c r="L32" s="34"/>
      <c r="M32" s="34"/>
      <c r="N32" s="34"/>
      <c r="O32" s="34"/>
      <c r="P32" s="34"/>
      <c r="Q32" s="14">
        <v>0</v>
      </c>
      <c r="R32" s="14">
        <v>0</v>
      </c>
      <c r="S32" s="14">
        <v>1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36"/>
      <c r="Z32" s="34"/>
      <c r="AA32" s="34"/>
      <c r="AB32" s="34"/>
      <c r="AC32" s="34"/>
      <c r="AD32" s="34"/>
      <c r="AE32" s="34"/>
      <c r="AF32" s="37"/>
      <c r="AG32" s="14">
        <v>0</v>
      </c>
      <c r="AH32" s="14">
        <v>1</v>
      </c>
      <c r="AI32" s="14">
        <v>0</v>
      </c>
      <c r="AJ32" s="14">
        <v>1</v>
      </c>
      <c r="AK32" s="14">
        <v>0</v>
      </c>
      <c r="AL32" s="14">
        <v>1</v>
      </c>
      <c r="AM32" s="14">
        <v>0</v>
      </c>
      <c r="AN32" s="14">
        <v>0</v>
      </c>
      <c r="AO32" s="36"/>
      <c r="AP32" s="34"/>
      <c r="AQ32" s="34"/>
      <c r="AR32" s="34"/>
      <c r="AS32" s="34"/>
      <c r="AT32" s="34"/>
      <c r="AU32" s="34"/>
      <c r="AV32" s="34"/>
      <c r="AW32" s="14">
        <v>0</v>
      </c>
      <c r="AX32" s="14">
        <v>1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36"/>
      <c r="BF32" s="34"/>
      <c r="BG32" s="34"/>
      <c r="BH32" s="34"/>
      <c r="BI32" s="34"/>
      <c r="BJ32" s="34"/>
      <c r="BK32" s="34"/>
      <c r="BL32" s="37"/>
      <c r="BO32" s="14">
        <v>0</v>
      </c>
      <c r="BP32" s="14">
        <v>1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36"/>
      <c r="BX32" s="34"/>
      <c r="BY32" s="34"/>
      <c r="BZ32" s="34"/>
      <c r="CA32" s="34"/>
      <c r="CB32" s="34"/>
      <c r="CC32" s="34"/>
      <c r="CD32" s="34"/>
      <c r="CE32" s="14">
        <v>0</v>
      </c>
      <c r="CF32" s="14">
        <v>1</v>
      </c>
      <c r="CG32" s="14">
        <v>0</v>
      </c>
      <c r="CH32" s="14">
        <v>0</v>
      </c>
      <c r="CI32" s="14">
        <v>0</v>
      </c>
      <c r="CJ32" s="14">
        <v>1</v>
      </c>
      <c r="CK32" s="14">
        <v>0</v>
      </c>
      <c r="CL32" s="14">
        <v>0</v>
      </c>
      <c r="CM32" s="36"/>
      <c r="CN32" s="34"/>
      <c r="CO32" s="34"/>
      <c r="CP32" s="34"/>
      <c r="CQ32" s="34"/>
      <c r="CR32" s="34"/>
      <c r="CS32" s="34"/>
      <c r="CT32" s="37"/>
    </row>
    <row r="33" spans="1:98" x14ac:dyDescent="0.25">
      <c r="A33" s="14">
        <v>0</v>
      </c>
      <c r="B33" s="14">
        <v>0</v>
      </c>
      <c r="C33" s="14">
        <v>1</v>
      </c>
      <c r="D33" s="14">
        <v>1</v>
      </c>
      <c r="E33" s="14">
        <v>0</v>
      </c>
      <c r="F33" s="14">
        <v>0</v>
      </c>
      <c r="G33" s="14">
        <v>0</v>
      </c>
      <c r="H33" s="14">
        <v>0</v>
      </c>
      <c r="I33" s="40" t="s">
        <v>12</v>
      </c>
      <c r="J33" s="41"/>
      <c r="K33" s="41"/>
      <c r="L33" s="41"/>
      <c r="M33" s="41"/>
      <c r="N33" s="41"/>
      <c r="O33" s="41"/>
      <c r="P33" s="42"/>
      <c r="Q33" s="14">
        <v>0</v>
      </c>
      <c r="R33" s="14">
        <v>0</v>
      </c>
      <c r="S33" s="14">
        <v>1</v>
      </c>
      <c r="T33" s="14">
        <v>0</v>
      </c>
      <c r="U33" s="14">
        <v>0</v>
      </c>
      <c r="V33" s="14">
        <v>1</v>
      </c>
      <c r="W33" s="14">
        <v>0</v>
      </c>
      <c r="X33" s="14">
        <v>0</v>
      </c>
      <c r="Y33" s="40" t="s">
        <v>13</v>
      </c>
      <c r="Z33" s="41"/>
      <c r="AA33" s="41"/>
      <c r="AB33" s="41"/>
      <c r="AC33" s="41"/>
      <c r="AD33" s="41"/>
      <c r="AE33" s="41"/>
      <c r="AF33" s="43"/>
      <c r="AG33" s="14">
        <v>0</v>
      </c>
      <c r="AH33" s="14">
        <v>1</v>
      </c>
      <c r="AI33" s="14">
        <v>0</v>
      </c>
      <c r="AJ33" s="14">
        <v>1</v>
      </c>
      <c r="AK33" s="14">
        <v>0</v>
      </c>
      <c r="AL33" s="14">
        <v>1</v>
      </c>
      <c r="AM33" s="14">
        <v>0</v>
      </c>
      <c r="AN33" s="14">
        <v>0</v>
      </c>
      <c r="AO33" s="40" t="s">
        <v>14</v>
      </c>
      <c r="AP33" s="41"/>
      <c r="AQ33" s="41"/>
      <c r="AR33" s="41"/>
      <c r="AS33" s="41"/>
      <c r="AT33" s="41"/>
      <c r="AU33" s="41"/>
      <c r="AV33" s="42"/>
      <c r="AW33" s="14">
        <v>0</v>
      </c>
      <c r="AX33" s="14">
        <v>1</v>
      </c>
      <c r="AY33" s="14">
        <v>1</v>
      </c>
      <c r="AZ33" s="14">
        <v>1</v>
      </c>
      <c r="BA33" s="14">
        <v>1</v>
      </c>
      <c r="BB33" s="14">
        <v>1</v>
      </c>
      <c r="BC33" s="14">
        <v>0</v>
      </c>
      <c r="BD33" s="14">
        <v>0</v>
      </c>
      <c r="BE33" s="40" t="s">
        <v>15</v>
      </c>
      <c r="BF33" s="41"/>
      <c r="BG33" s="41"/>
      <c r="BH33" s="41"/>
      <c r="BI33" s="41"/>
      <c r="BJ33" s="41"/>
      <c r="BK33" s="41"/>
      <c r="BL33" s="43"/>
      <c r="BO33" s="14">
        <v>0</v>
      </c>
      <c r="BP33" s="14">
        <v>1</v>
      </c>
      <c r="BQ33" s="14">
        <v>0</v>
      </c>
      <c r="BR33" s="14">
        <v>1</v>
      </c>
      <c r="BS33" s="14">
        <v>1</v>
      </c>
      <c r="BT33" s="14">
        <v>1</v>
      </c>
      <c r="BU33" s="14">
        <v>0</v>
      </c>
      <c r="BV33" s="14">
        <v>0</v>
      </c>
      <c r="BW33" s="40" t="s">
        <v>60</v>
      </c>
      <c r="BX33" s="41"/>
      <c r="BY33" s="41"/>
      <c r="BZ33" s="41"/>
      <c r="CA33" s="41"/>
      <c r="CB33" s="41"/>
      <c r="CC33" s="41"/>
      <c r="CD33" s="42"/>
      <c r="CE33" s="14">
        <v>0</v>
      </c>
      <c r="CF33" s="14">
        <v>1</v>
      </c>
      <c r="CG33" s="14">
        <v>1</v>
      </c>
      <c r="CH33" s="14">
        <v>1</v>
      </c>
      <c r="CI33" s="14">
        <v>1</v>
      </c>
      <c r="CJ33" s="14">
        <v>1</v>
      </c>
      <c r="CK33" s="14">
        <v>0</v>
      </c>
      <c r="CL33" s="14">
        <v>0</v>
      </c>
      <c r="CM33" s="40" t="s">
        <v>61</v>
      </c>
      <c r="CN33" s="41"/>
      <c r="CO33" s="41"/>
      <c r="CP33" s="41"/>
      <c r="CQ33" s="41"/>
      <c r="CR33" s="41"/>
      <c r="CS33" s="41"/>
      <c r="CT33" s="43"/>
    </row>
    <row r="34" spans="1:98" ht="15" customHeight="1" x14ac:dyDescent="0.25">
      <c r="A34" s="14">
        <v>0</v>
      </c>
      <c r="B34" s="14">
        <v>0</v>
      </c>
      <c r="C34" s="14">
        <v>1</v>
      </c>
      <c r="D34" s="14">
        <v>0</v>
      </c>
      <c r="E34" s="14">
        <v>1</v>
      </c>
      <c r="F34" s="14">
        <v>0</v>
      </c>
      <c r="G34" s="14">
        <v>0</v>
      </c>
      <c r="H34" s="14">
        <v>0</v>
      </c>
      <c r="I34" s="33" t="str">
        <f>"{{"&amp;I31&amp;"}"&amp;", "&amp;$I$1&amp;"},  //"&amp;I33&amp;":"&amp;M29&amp;":"&amp;O29</f>
        <v>{{0x0, 0x0, 0x7F, 0x8, 0x14, 0x63, 0x0, 0x0}, 8},  //К:208:154</v>
      </c>
      <c r="J34" s="34"/>
      <c r="K34" s="34"/>
      <c r="L34" s="34"/>
      <c r="M34" s="34"/>
      <c r="N34" s="34"/>
      <c r="O34" s="34"/>
      <c r="P34" s="35"/>
      <c r="Q34" s="14">
        <v>0</v>
      </c>
      <c r="R34" s="14">
        <v>0</v>
      </c>
      <c r="S34" s="14">
        <v>1</v>
      </c>
      <c r="T34" s="14">
        <v>0</v>
      </c>
      <c r="U34" s="14">
        <v>0</v>
      </c>
      <c r="V34" s="14">
        <v>1</v>
      </c>
      <c r="W34" s="14">
        <v>0</v>
      </c>
      <c r="X34" s="14">
        <v>0</v>
      </c>
      <c r="Y34" s="33" t="str">
        <f>"{{"&amp;Y31&amp;"}"&amp;", "&amp;$I$1&amp;"},  //"&amp;Y33&amp;":"&amp;AC29&amp;":"&amp;AE29</f>
        <v>{{0x0, 0x40, 0x3E, 0x1, 0x1, 0x7E, 0x0, 0x0}, 8},  //Л:208:155</v>
      </c>
      <c r="Z34" s="34"/>
      <c r="AA34" s="34"/>
      <c r="AB34" s="34"/>
      <c r="AC34" s="34"/>
      <c r="AD34" s="34"/>
      <c r="AE34" s="34"/>
      <c r="AF34" s="35"/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1</v>
      </c>
      <c r="AM34" s="14">
        <v>0</v>
      </c>
      <c r="AN34" s="14">
        <v>0</v>
      </c>
      <c r="AO34" s="33" t="str">
        <f>"{{"&amp;AO31&amp;"}"&amp;", "&amp;$I$1&amp;"},  //"&amp;AO33&amp;":"&amp;AS29&amp;":"&amp;AU29</f>
        <v>{{0x0, 0x7F, 0x2, 0xC, 0x2, 0x7F, 0x0, 0x0}, 8},  //М:208:156</v>
      </c>
      <c r="AP34" s="34"/>
      <c r="AQ34" s="34"/>
      <c r="AR34" s="34"/>
      <c r="AS34" s="34"/>
      <c r="AT34" s="34"/>
      <c r="AU34" s="34"/>
      <c r="AV34" s="35"/>
      <c r="AW34" s="14">
        <v>0</v>
      </c>
      <c r="AX34" s="14">
        <v>1</v>
      </c>
      <c r="AY34" s="14">
        <v>0</v>
      </c>
      <c r="AZ34" s="14">
        <v>0</v>
      </c>
      <c r="BA34" s="14">
        <v>0</v>
      </c>
      <c r="BB34" s="14">
        <v>1</v>
      </c>
      <c r="BC34" s="14">
        <v>0</v>
      </c>
      <c r="BD34" s="14">
        <v>0</v>
      </c>
      <c r="BE34" s="33" t="str">
        <f>"{{"&amp;BE31&amp;"}"&amp;", "&amp;$I$1&amp;"},  //"&amp;BE33&amp;":"&amp;BI29&amp;":"&amp;BK29</f>
        <v>{{0x0, 0x7F, 0x8, 0x8, 0x8, 0x7F, 0x0, 0x0}, 8},  //Н:208:157</v>
      </c>
      <c r="BF34" s="34"/>
      <c r="BG34" s="34"/>
      <c r="BH34" s="34"/>
      <c r="BI34" s="34"/>
      <c r="BJ34" s="34"/>
      <c r="BK34" s="34"/>
      <c r="BL34" s="35"/>
      <c r="BO34" s="14">
        <v>0</v>
      </c>
      <c r="BP34" s="14">
        <v>1</v>
      </c>
      <c r="BQ34" s="14">
        <v>0</v>
      </c>
      <c r="BR34" s="14">
        <v>0</v>
      </c>
      <c r="BS34" s="14">
        <v>0</v>
      </c>
      <c r="BT34" s="14">
        <v>1</v>
      </c>
      <c r="BU34" s="14">
        <v>0</v>
      </c>
      <c r="BV34" s="14">
        <v>0</v>
      </c>
      <c r="BW34" s="33" t="str">
        <f>"{{"&amp;BW31&amp;"}"&amp;", "&amp;$I$1&amp;"},  //"&amp;BW33&amp;":"&amp;CA29&amp;":"&amp;CC29</f>
        <v>{{0x0, 0x3E, 0x41, 0x49, 0x49, 0x3A, 0x0, 0x0}, 8},  //G:0:71</v>
      </c>
      <c r="BX34" s="34"/>
      <c r="BY34" s="34"/>
      <c r="BZ34" s="34"/>
      <c r="CA34" s="34"/>
      <c r="CB34" s="34"/>
      <c r="CC34" s="34"/>
      <c r="CD34" s="35"/>
      <c r="CE34" s="14">
        <v>0</v>
      </c>
      <c r="CF34" s="14">
        <v>1</v>
      </c>
      <c r="CG34" s="14">
        <v>0</v>
      </c>
      <c r="CH34" s="14">
        <v>0</v>
      </c>
      <c r="CI34" s="14">
        <v>0</v>
      </c>
      <c r="CJ34" s="14">
        <v>1</v>
      </c>
      <c r="CK34" s="14">
        <v>0</v>
      </c>
      <c r="CL34" s="14">
        <v>0</v>
      </c>
      <c r="CM34" s="33" t="str">
        <f>"{{"&amp;CM31&amp;"}"&amp;", "&amp;$I$1&amp;"},  //"&amp;CM33&amp;":"&amp;CQ29&amp;":"&amp;CS29</f>
        <v>{{0x0, 0x7F, 0x8, 0x8, 0x8, 0x7F, 0x0, 0x0}, 8},  //H:0:72</v>
      </c>
      <c r="CN34" s="34"/>
      <c r="CO34" s="34"/>
      <c r="CP34" s="34"/>
      <c r="CQ34" s="34"/>
      <c r="CR34" s="34"/>
      <c r="CS34" s="34"/>
      <c r="CT34" s="35"/>
    </row>
    <row r="35" spans="1:98" x14ac:dyDescent="0.25">
      <c r="A35" s="14">
        <v>0</v>
      </c>
      <c r="B35" s="14">
        <v>0</v>
      </c>
      <c r="C35" s="14">
        <v>1</v>
      </c>
      <c r="D35" s="14">
        <v>0</v>
      </c>
      <c r="E35" s="14">
        <v>0</v>
      </c>
      <c r="F35" s="14">
        <v>1</v>
      </c>
      <c r="G35" s="14">
        <v>0</v>
      </c>
      <c r="H35" s="14">
        <v>0</v>
      </c>
      <c r="I35" s="33"/>
      <c r="J35" s="34"/>
      <c r="K35" s="34"/>
      <c r="L35" s="34"/>
      <c r="M35" s="34"/>
      <c r="N35" s="34"/>
      <c r="O35" s="34"/>
      <c r="P35" s="35"/>
      <c r="Q35" s="14">
        <v>0</v>
      </c>
      <c r="R35" s="14">
        <v>0</v>
      </c>
      <c r="S35" s="14">
        <v>1</v>
      </c>
      <c r="T35" s="14">
        <v>0</v>
      </c>
      <c r="U35" s="14">
        <v>0</v>
      </c>
      <c r="V35" s="14">
        <v>1</v>
      </c>
      <c r="W35" s="14">
        <v>0</v>
      </c>
      <c r="X35" s="14">
        <v>0</v>
      </c>
      <c r="Y35" s="33"/>
      <c r="Z35" s="34"/>
      <c r="AA35" s="34"/>
      <c r="AB35" s="34"/>
      <c r="AC35" s="34"/>
      <c r="AD35" s="34"/>
      <c r="AE35" s="34"/>
      <c r="AF35" s="35"/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1</v>
      </c>
      <c r="AM35" s="14">
        <v>0</v>
      </c>
      <c r="AN35" s="14">
        <v>0</v>
      </c>
      <c r="AO35" s="33"/>
      <c r="AP35" s="34"/>
      <c r="AQ35" s="34"/>
      <c r="AR35" s="34"/>
      <c r="AS35" s="34"/>
      <c r="AT35" s="34"/>
      <c r="AU35" s="34"/>
      <c r="AV35" s="35"/>
      <c r="AW35" s="14">
        <v>0</v>
      </c>
      <c r="AX35" s="14">
        <v>1</v>
      </c>
      <c r="AY35" s="14">
        <v>0</v>
      </c>
      <c r="AZ35" s="14">
        <v>0</v>
      </c>
      <c r="BA35" s="14">
        <v>0</v>
      </c>
      <c r="BB35" s="14">
        <v>1</v>
      </c>
      <c r="BC35" s="14">
        <v>0</v>
      </c>
      <c r="BD35" s="14">
        <v>0</v>
      </c>
      <c r="BE35" s="33"/>
      <c r="BF35" s="34"/>
      <c r="BG35" s="34"/>
      <c r="BH35" s="34"/>
      <c r="BI35" s="34"/>
      <c r="BJ35" s="34"/>
      <c r="BK35" s="34"/>
      <c r="BL35" s="35"/>
      <c r="BO35" s="14">
        <v>0</v>
      </c>
      <c r="BP35" s="14">
        <v>1</v>
      </c>
      <c r="BQ35" s="14">
        <v>0</v>
      </c>
      <c r="BR35" s="14">
        <v>0</v>
      </c>
      <c r="BS35" s="14">
        <v>0</v>
      </c>
      <c r="BT35" s="14">
        <v>1</v>
      </c>
      <c r="BU35" s="14">
        <v>0</v>
      </c>
      <c r="BV35" s="14">
        <v>0</v>
      </c>
      <c r="BW35" s="33"/>
      <c r="BX35" s="34"/>
      <c r="BY35" s="34"/>
      <c r="BZ35" s="34"/>
      <c r="CA35" s="34"/>
      <c r="CB35" s="34"/>
      <c r="CC35" s="34"/>
      <c r="CD35" s="35"/>
      <c r="CE35" s="14">
        <v>0</v>
      </c>
      <c r="CF35" s="14">
        <v>1</v>
      </c>
      <c r="CG35" s="14">
        <v>0</v>
      </c>
      <c r="CH35" s="14">
        <v>0</v>
      </c>
      <c r="CI35" s="14">
        <v>0</v>
      </c>
      <c r="CJ35" s="14">
        <v>1</v>
      </c>
      <c r="CK35" s="14">
        <v>0</v>
      </c>
      <c r="CL35" s="14">
        <v>0</v>
      </c>
      <c r="CM35" s="33"/>
      <c r="CN35" s="34"/>
      <c r="CO35" s="34"/>
      <c r="CP35" s="34"/>
      <c r="CQ35" s="34"/>
      <c r="CR35" s="34"/>
      <c r="CS35" s="34"/>
      <c r="CT35" s="35"/>
    </row>
    <row r="36" spans="1:98" x14ac:dyDescent="0.25">
      <c r="A36" s="14">
        <v>0</v>
      </c>
      <c r="B36" s="14">
        <v>0</v>
      </c>
      <c r="C36" s="14">
        <v>1</v>
      </c>
      <c r="D36" s="14">
        <v>0</v>
      </c>
      <c r="E36" s="14">
        <v>0</v>
      </c>
      <c r="F36" s="14">
        <v>1</v>
      </c>
      <c r="G36" s="14">
        <v>0</v>
      </c>
      <c r="H36" s="14">
        <v>0</v>
      </c>
      <c r="I36" s="40" t="s">
        <v>48</v>
      </c>
      <c r="J36" s="41"/>
      <c r="K36" s="41"/>
      <c r="L36" s="41"/>
      <c r="M36" s="44">
        <v>208</v>
      </c>
      <c r="N36" s="44"/>
      <c r="O36" s="44">
        <v>186</v>
      </c>
      <c r="P36" s="45"/>
      <c r="Q36" s="14">
        <v>0</v>
      </c>
      <c r="R36" s="14">
        <v>1</v>
      </c>
      <c r="S36" s="14">
        <v>0</v>
      </c>
      <c r="T36" s="14">
        <v>0</v>
      </c>
      <c r="U36" s="14">
        <v>0</v>
      </c>
      <c r="V36" s="14">
        <v>1</v>
      </c>
      <c r="W36" s="14">
        <v>0</v>
      </c>
      <c r="X36" s="14">
        <v>0</v>
      </c>
      <c r="Y36" s="40" t="s">
        <v>48</v>
      </c>
      <c r="Z36" s="41"/>
      <c r="AA36" s="41"/>
      <c r="AB36" s="41"/>
      <c r="AC36" s="44">
        <v>208</v>
      </c>
      <c r="AD36" s="44"/>
      <c r="AE36" s="44">
        <v>187</v>
      </c>
      <c r="AF36" s="45"/>
      <c r="AG36" s="14">
        <v>0</v>
      </c>
      <c r="AH36" s="14">
        <v>1</v>
      </c>
      <c r="AI36" s="14">
        <v>0</v>
      </c>
      <c r="AJ36" s="14">
        <v>0</v>
      </c>
      <c r="AK36" s="14">
        <v>0</v>
      </c>
      <c r="AL36" s="14">
        <v>1</v>
      </c>
      <c r="AM36" s="14">
        <v>0</v>
      </c>
      <c r="AN36" s="14">
        <v>0</v>
      </c>
      <c r="AO36" s="40" t="s">
        <v>48</v>
      </c>
      <c r="AP36" s="41"/>
      <c r="AQ36" s="41"/>
      <c r="AR36" s="41"/>
      <c r="AS36" s="44">
        <v>208</v>
      </c>
      <c r="AT36" s="44"/>
      <c r="AU36" s="44">
        <v>188</v>
      </c>
      <c r="AV36" s="45"/>
      <c r="AW36" s="14">
        <v>0</v>
      </c>
      <c r="AX36" s="14">
        <v>1</v>
      </c>
      <c r="AY36" s="14">
        <v>0</v>
      </c>
      <c r="AZ36" s="14">
        <v>0</v>
      </c>
      <c r="BA36" s="14">
        <v>0</v>
      </c>
      <c r="BB36" s="14">
        <v>1</v>
      </c>
      <c r="BC36" s="14">
        <v>0</v>
      </c>
      <c r="BD36" s="14">
        <v>0</v>
      </c>
      <c r="BE36" s="40" t="s">
        <v>48</v>
      </c>
      <c r="BF36" s="41"/>
      <c r="BG36" s="41"/>
      <c r="BH36" s="41"/>
      <c r="BI36" s="44">
        <v>208</v>
      </c>
      <c r="BJ36" s="44"/>
      <c r="BK36" s="44">
        <v>189</v>
      </c>
      <c r="BL36" s="45"/>
      <c r="BO36" s="14">
        <v>0</v>
      </c>
      <c r="BP36" s="14">
        <v>0</v>
      </c>
      <c r="BQ36" s="14">
        <v>1</v>
      </c>
      <c r="BR36" s="14">
        <v>1</v>
      </c>
      <c r="BS36" s="14">
        <v>1</v>
      </c>
      <c r="BT36" s="14">
        <v>0</v>
      </c>
      <c r="BU36" s="14">
        <v>0</v>
      </c>
      <c r="BV36" s="14">
        <v>0</v>
      </c>
      <c r="BW36" s="40" t="s">
        <v>48</v>
      </c>
      <c r="BX36" s="41"/>
      <c r="BY36" s="41"/>
      <c r="BZ36" s="41"/>
      <c r="CA36" s="44">
        <v>0</v>
      </c>
      <c r="CB36" s="44"/>
      <c r="CC36" s="44">
        <v>103</v>
      </c>
      <c r="CD36" s="45"/>
      <c r="CE36" s="14">
        <v>0</v>
      </c>
      <c r="CF36" s="14">
        <v>1</v>
      </c>
      <c r="CG36" s="14">
        <v>0</v>
      </c>
      <c r="CH36" s="14">
        <v>0</v>
      </c>
      <c r="CI36" s="14">
        <v>0</v>
      </c>
      <c r="CJ36" s="14">
        <v>1</v>
      </c>
      <c r="CK36" s="14">
        <v>0</v>
      </c>
      <c r="CL36" s="14">
        <v>0</v>
      </c>
      <c r="CM36" s="40" t="s">
        <v>48</v>
      </c>
      <c r="CN36" s="41"/>
      <c r="CO36" s="41"/>
      <c r="CP36" s="41"/>
      <c r="CQ36" s="44">
        <v>0</v>
      </c>
      <c r="CR36" s="44"/>
      <c r="CS36" s="44">
        <v>104</v>
      </c>
      <c r="CT36" s="45"/>
    </row>
    <row r="37" spans="1:98" x14ac:dyDescent="0.25">
      <c r="A37" s="15">
        <v>0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2"/>
      <c r="J37" s="12"/>
      <c r="K37" s="12"/>
      <c r="L37" s="12"/>
      <c r="M37" s="12"/>
      <c r="N37" s="12"/>
      <c r="O37" s="12"/>
      <c r="P37" s="12"/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2"/>
      <c r="Z37" s="12"/>
      <c r="AA37" s="12"/>
      <c r="AB37" s="12"/>
      <c r="AC37" s="12"/>
      <c r="AD37" s="12"/>
      <c r="AE37" s="12"/>
      <c r="AF37" s="13"/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2"/>
      <c r="AP37" s="12"/>
      <c r="AQ37" s="12"/>
      <c r="AR37" s="12"/>
      <c r="AS37" s="12"/>
      <c r="AT37" s="12"/>
      <c r="AU37" s="12"/>
      <c r="AV37" s="12"/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2"/>
      <c r="BF37" s="12"/>
      <c r="BG37" s="12"/>
      <c r="BH37" s="12"/>
      <c r="BI37" s="12"/>
      <c r="BJ37" s="12"/>
      <c r="BK37" s="12"/>
      <c r="BL37" s="12"/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2"/>
      <c r="BX37" s="12"/>
      <c r="BY37" s="12"/>
      <c r="BZ37" s="12"/>
      <c r="CA37" s="12"/>
      <c r="CB37" s="12"/>
      <c r="CC37" s="12"/>
      <c r="CD37" s="12"/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2"/>
      <c r="CN37" s="12"/>
      <c r="CO37" s="12"/>
      <c r="CP37" s="12"/>
      <c r="CQ37" s="12"/>
      <c r="CR37" s="12"/>
      <c r="CS37" s="12"/>
      <c r="CT37" s="12"/>
    </row>
    <row r="38" spans="1:98" s="5" customFormat="1" x14ac:dyDescent="0.25">
      <c r="A38" s="10">
        <v>1</v>
      </c>
      <c r="B38" s="10">
        <v>2</v>
      </c>
      <c r="C38" s="10">
        <v>3</v>
      </c>
      <c r="D38" s="10">
        <v>4</v>
      </c>
      <c r="E38" s="10">
        <v>5</v>
      </c>
      <c r="F38" s="10">
        <v>6</v>
      </c>
      <c r="G38" s="10">
        <v>7</v>
      </c>
      <c r="H38" s="10">
        <v>8</v>
      </c>
      <c r="I38" s="38" t="s">
        <v>0</v>
      </c>
      <c r="J38" s="38"/>
      <c r="K38" s="38"/>
      <c r="L38" s="38"/>
      <c r="M38" s="39">
        <v>208</v>
      </c>
      <c r="N38" s="39"/>
      <c r="O38" s="39">
        <v>158</v>
      </c>
      <c r="P38" s="39"/>
      <c r="Q38" s="10">
        <v>1</v>
      </c>
      <c r="R38" s="10">
        <v>2</v>
      </c>
      <c r="S38" s="10">
        <v>3</v>
      </c>
      <c r="T38" s="10">
        <v>4</v>
      </c>
      <c r="U38" s="10">
        <v>5</v>
      </c>
      <c r="V38" s="10">
        <v>6</v>
      </c>
      <c r="W38" s="10">
        <v>7</v>
      </c>
      <c r="X38" s="10">
        <v>8</v>
      </c>
      <c r="Y38" s="38" t="s">
        <v>0</v>
      </c>
      <c r="Z38" s="38"/>
      <c r="AA38" s="38"/>
      <c r="AB38" s="38"/>
      <c r="AC38" s="39">
        <v>208</v>
      </c>
      <c r="AD38" s="39"/>
      <c r="AE38" s="39">
        <v>159</v>
      </c>
      <c r="AF38" s="39"/>
      <c r="AG38" s="10">
        <v>1</v>
      </c>
      <c r="AH38" s="10">
        <v>2</v>
      </c>
      <c r="AI38" s="10">
        <v>3</v>
      </c>
      <c r="AJ38" s="10">
        <v>4</v>
      </c>
      <c r="AK38" s="10">
        <v>5</v>
      </c>
      <c r="AL38" s="10">
        <v>6</v>
      </c>
      <c r="AM38" s="10">
        <v>7</v>
      </c>
      <c r="AN38" s="10">
        <v>8</v>
      </c>
      <c r="AO38" s="38" t="s">
        <v>0</v>
      </c>
      <c r="AP38" s="38"/>
      <c r="AQ38" s="38"/>
      <c r="AR38" s="38"/>
      <c r="AS38" s="39">
        <v>208</v>
      </c>
      <c r="AT38" s="39"/>
      <c r="AU38" s="39">
        <v>160</v>
      </c>
      <c r="AV38" s="39"/>
      <c r="AW38" s="10">
        <v>1</v>
      </c>
      <c r="AX38" s="10">
        <v>2</v>
      </c>
      <c r="AY38" s="10">
        <v>3</v>
      </c>
      <c r="AZ38" s="10">
        <v>4</v>
      </c>
      <c r="BA38" s="10">
        <v>5</v>
      </c>
      <c r="BB38" s="10">
        <v>6</v>
      </c>
      <c r="BC38" s="10">
        <v>7</v>
      </c>
      <c r="BD38" s="10">
        <v>8</v>
      </c>
      <c r="BE38" s="38" t="s">
        <v>0</v>
      </c>
      <c r="BF38" s="38"/>
      <c r="BG38" s="38"/>
      <c r="BH38" s="38"/>
      <c r="BI38" s="39">
        <v>208</v>
      </c>
      <c r="BJ38" s="39"/>
      <c r="BK38" s="39">
        <v>161</v>
      </c>
      <c r="BL38" s="39"/>
      <c r="BM38" s="20"/>
      <c r="BN38" s="20"/>
      <c r="BO38" s="7">
        <v>1</v>
      </c>
      <c r="BP38" s="7">
        <v>2</v>
      </c>
      <c r="BQ38" s="7">
        <v>3</v>
      </c>
      <c r="BR38" s="7">
        <v>4</v>
      </c>
      <c r="BS38" s="7">
        <v>5</v>
      </c>
      <c r="BT38" s="7">
        <v>6</v>
      </c>
      <c r="BU38" s="7">
        <v>7</v>
      </c>
      <c r="BV38" s="7">
        <v>8</v>
      </c>
      <c r="BW38" s="50" t="s">
        <v>0</v>
      </c>
      <c r="BX38" s="50"/>
      <c r="BY38" s="50"/>
      <c r="BZ38" s="50"/>
      <c r="CA38" s="49">
        <v>0</v>
      </c>
      <c r="CB38" s="49"/>
      <c r="CC38" s="49">
        <v>73</v>
      </c>
      <c r="CD38" s="49"/>
      <c r="CE38" s="7">
        <v>1</v>
      </c>
      <c r="CF38" s="7">
        <v>2</v>
      </c>
      <c r="CG38" s="7">
        <v>3</v>
      </c>
      <c r="CH38" s="7">
        <v>4</v>
      </c>
      <c r="CI38" s="7">
        <v>5</v>
      </c>
      <c r="CJ38" s="7">
        <v>6</v>
      </c>
      <c r="CK38" s="7">
        <v>7</v>
      </c>
      <c r="CL38" s="7">
        <v>8</v>
      </c>
      <c r="CM38" s="50" t="s">
        <v>0</v>
      </c>
      <c r="CN38" s="50"/>
      <c r="CO38" s="50"/>
      <c r="CP38" s="50"/>
      <c r="CQ38" s="49">
        <v>0</v>
      </c>
      <c r="CR38" s="49"/>
      <c r="CS38" s="49">
        <v>74</v>
      </c>
      <c r="CT38" s="49"/>
    </row>
    <row r="39" spans="1:98" x14ac:dyDescent="0.25">
      <c r="A39" s="11">
        <v>0</v>
      </c>
      <c r="B39" s="11">
        <v>0</v>
      </c>
      <c r="C39" s="11">
        <v>1</v>
      </c>
      <c r="D39" s="11">
        <v>1</v>
      </c>
      <c r="E39" s="11">
        <v>1</v>
      </c>
      <c r="F39" s="11">
        <v>0</v>
      </c>
      <c r="G39" s="11">
        <v>0</v>
      </c>
      <c r="H39" s="11">
        <v>0</v>
      </c>
      <c r="I39" s="12" t="str">
        <f>BIN2HEX(A46&amp;A45&amp;A44&amp;A43&amp;A42&amp;A41&amp;A40&amp;A39)</f>
        <v>0</v>
      </c>
      <c r="J39" s="12" t="str">
        <f t="shared" ref="J39" si="135">BIN2HEX(B46&amp;B45&amp;B44&amp;B43&amp;B42&amp;B41&amp;B40&amp;B39)</f>
        <v>3E</v>
      </c>
      <c r="K39" s="12" t="str">
        <f t="shared" ref="K39" si="136">BIN2HEX(C46&amp;C45&amp;C44&amp;C43&amp;C42&amp;C41&amp;C40&amp;C39)</f>
        <v>41</v>
      </c>
      <c r="L39" s="12" t="str">
        <f t="shared" ref="L39" si="137">BIN2HEX(D46&amp;D45&amp;D44&amp;D43&amp;D42&amp;D41&amp;D40&amp;D39)</f>
        <v>41</v>
      </c>
      <c r="M39" s="12" t="str">
        <f t="shared" ref="M39" si="138">BIN2HEX(E46&amp;E45&amp;E44&amp;E43&amp;E42&amp;E41&amp;E40&amp;E39)</f>
        <v>41</v>
      </c>
      <c r="N39" s="12" t="str">
        <f t="shared" ref="N39" si="139">BIN2HEX(F46&amp;F45&amp;F44&amp;F43&amp;F42&amp;F41&amp;F40&amp;F39)</f>
        <v>3E</v>
      </c>
      <c r="O39" s="12" t="str">
        <f t="shared" ref="O39" si="140">BIN2HEX(G46&amp;G45&amp;G44&amp;G43&amp;G42&amp;G41&amp;G40&amp;G39)</f>
        <v>0</v>
      </c>
      <c r="P39" s="12" t="str">
        <f>BIN2HEX(H46&amp;H45&amp;H44&amp;H43&amp;H42&amp;H41&amp;H40&amp;H39)</f>
        <v>0</v>
      </c>
      <c r="Q39" s="11">
        <v>0</v>
      </c>
      <c r="R39" s="11">
        <v>1</v>
      </c>
      <c r="S39" s="11">
        <v>1</v>
      </c>
      <c r="T39" s="11">
        <v>1</v>
      </c>
      <c r="U39" s="11">
        <v>1</v>
      </c>
      <c r="V39" s="11">
        <v>1</v>
      </c>
      <c r="W39" s="11">
        <v>0</v>
      </c>
      <c r="X39" s="11">
        <v>0</v>
      </c>
      <c r="Y39" s="12" t="str">
        <f>BIN2HEX(Q46&amp;Q45&amp;Q44&amp;Q43&amp;Q42&amp;Q41&amp;Q40&amp;Q39)</f>
        <v>0</v>
      </c>
      <c r="Z39" s="12" t="str">
        <f t="shared" ref="Z39" si="141">BIN2HEX(R46&amp;R45&amp;R44&amp;R43&amp;R42&amp;R41&amp;R40&amp;R39)</f>
        <v>7F</v>
      </c>
      <c r="AA39" s="12" t="str">
        <f t="shared" ref="AA39" si="142">BIN2HEX(S46&amp;S45&amp;S44&amp;S43&amp;S42&amp;S41&amp;S40&amp;S39)</f>
        <v>1</v>
      </c>
      <c r="AB39" s="12" t="str">
        <f t="shared" ref="AB39" si="143">BIN2HEX(T46&amp;T45&amp;T44&amp;T43&amp;T42&amp;T41&amp;T40&amp;T39)</f>
        <v>1</v>
      </c>
      <c r="AC39" s="12" t="str">
        <f t="shared" ref="AC39" si="144">BIN2HEX(U46&amp;U45&amp;U44&amp;U43&amp;U42&amp;U41&amp;U40&amp;U39)</f>
        <v>1</v>
      </c>
      <c r="AD39" s="12" t="str">
        <f t="shared" ref="AD39" si="145">BIN2HEX(V46&amp;V45&amp;V44&amp;V43&amp;V42&amp;V41&amp;V40&amp;V39)</f>
        <v>7F</v>
      </c>
      <c r="AE39" s="12" t="str">
        <f t="shared" ref="AE39" si="146">BIN2HEX(W46&amp;W45&amp;W44&amp;W43&amp;W42&amp;W41&amp;W40&amp;W39)</f>
        <v>0</v>
      </c>
      <c r="AF39" s="13" t="str">
        <f>BIN2HEX(X46&amp;X45&amp;X44&amp;X43&amp;X42&amp;X41&amp;X40&amp;X39)</f>
        <v>0</v>
      </c>
      <c r="AG39" s="11">
        <v>0</v>
      </c>
      <c r="AH39" s="11">
        <v>1</v>
      </c>
      <c r="AI39" s="11">
        <v>1</v>
      </c>
      <c r="AJ39" s="11">
        <v>1</v>
      </c>
      <c r="AK39" s="11">
        <v>1</v>
      </c>
      <c r="AL39" s="11">
        <v>0</v>
      </c>
      <c r="AM39" s="11">
        <v>0</v>
      </c>
      <c r="AN39" s="11">
        <v>0</v>
      </c>
      <c r="AO39" s="12" t="str">
        <f>BIN2HEX(AG46&amp;AG45&amp;AG44&amp;AG43&amp;AG42&amp;AG41&amp;AG40&amp;AG39)</f>
        <v>0</v>
      </c>
      <c r="AP39" s="12" t="str">
        <f t="shared" ref="AP39" si="147">BIN2HEX(AH46&amp;AH45&amp;AH44&amp;AH43&amp;AH42&amp;AH41&amp;AH40&amp;AH39)</f>
        <v>7F</v>
      </c>
      <c r="AQ39" s="12" t="str">
        <f t="shared" ref="AQ39" si="148">BIN2HEX(AI46&amp;AI45&amp;AI44&amp;AI43&amp;AI42&amp;AI41&amp;AI40&amp;AI39)</f>
        <v>9</v>
      </c>
      <c r="AR39" s="12" t="str">
        <f t="shared" ref="AR39" si="149">BIN2HEX(AJ46&amp;AJ45&amp;AJ44&amp;AJ43&amp;AJ42&amp;AJ41&amp;AJ40&amp;AJ39)</f>
        <v>9</v>
      </c>
      <c r="AS39" s="12" t="str">
        <f t="shared" ref="AS39" si="150">BIN2HEX(AK46&amp;AK45&amp;AK44&amp;AK43&amp;AK42&amp;AK41&amp;AK40&amp;AK39)</f>
        <v>9</v>
      </c>
      <c r="AT39" s="12" t="str">
        <f t="shared" ref="AT39" si="151">BIN2HEX(AL46&amp;AL45&amp;AL44&amp;AL43&amp;AL42&amp;AL41&amp;AL40&amp;AL39)</f>
        <v>6</v>
      </c>
      <c r="AU39" s="12" t="str">
        <f t="shared" ref="AU39" si="152">BIN2HEX(AM46&amp;AM45&amp;AM44&amp;AM43&amp;AM42&amp;AM41&amp;AM40&amp;AM39)</f>
        <v>0</v>
      </c>
      <c r="AV39" s="13" t="str">
        <f>BIN2HEX(AN46&amp;AN45&amp;AN44&amp;AN43&amp;AN42&amp;AN41&amp;AN40&amp;AN39)</f>
        <v>0</v>
      </c>
      <c r="AW39" s="11">
        <v>0</v>
      </c>
      <c r="AX39" s="11">
        <v>0</v>
      </c>
      <c r="AY39" s="11">
        <v>0</v>
      </c>
      <c r="AZ39" s="11">
        <v>1</v>
      </c>
      <c r="BA39" s="11">
        <v>1</v>
      </c>
      <c r="BB39" s="11">
        <v>1</v>
      </c>
      <c r="BC39" s="11">
        <v>0</v>
      </c>
      <c r="BD39" s="11">
        <v>0</v>
      </c>
      <c r="BE39" s="12" t="str">
        <f>BIN2HEX(AW46&amp;AW45&amp;AW44&amp;AW43&amp;AW42&amp;AW41&amp;AW40&amp;AW39)</f>
        <v>0</v>
      </c>
      <c r="BF39" s="12" t="str">
        <f t="shared" ref="BF39" si="153">BIN2HEX(AX46&amp;AX45&amp;AX44&amp;AX43&amp;AX42&amp;AX41&amp;AX40&amp;AX39)</f>
        <v>0</v>
      </c>
      <c r="BG39" s="12" t="str">
        <f t="shared" ref="BG39" si="154">BIN2HEX(AY46&amp;AY45&amp;AY44&amp;AY43&amp;AY42&amp;AY41&amp;AY40&amp;AY39)</f>
        <v>3E</v>
      </c>
      <c r="BH39" s="12" t="str">
        <f t="shared" ref="BH39" si="155">BIN2HEX(AZ46&amp;AZ45&amp;AZ44&amp;AZ43&amp;AZ42&amp;AZ41&amp;AZ40&amp;AZ39)</f>
        <v>41</v>
      </c>
      <c r="BI39" s="12" t="str">
        <f t="shared" ref="BI39" si="156">BIN2HEX(BA46&amp;BA45&amp;BA44&amp;BA43&amp;BA42&amp;BA41&amp;BA40&amp;BA39)</f>
        <v>41</v>
      </c>
      <c r="BJ39" s="12" t="str">
        <f t="shared" ref="BJ39" si="157">BIN2HEX(BB46&amp;BB45&amp;BB44&amp;BB43&amp;BB42&amp;BB41&amp;BB40&amp;BB39)</f>
        <v>41</v>
      </c>
      <c r="BK39" s="12" t="str">
        <f t="shared" ref="BK39" si="158">BIN2HEX(BC46&amp;BC45&amp;BC44&amp;BC43&amp;BC42&amp;BC41&amp;BC40&amp;BC39)</f>
        <v>0</v>
      </c>
      <c r="BL39" s="12" t="str">
        <f>BIN2HEX(BD46&amp;BD45&amp;BD44&amp;BD43&amp;BD42&amp;BD41&amp;BD40&amp;BD39)</f>
        <v>0</v>
      </c>
      <c r="BO39" s="2">
        <v>0</v>
      </c>
      <c r="BP39" s="2">
        <v>0</v>
      </c>
      <c r="BQ39" s="2">
        <v>0</v>
      </c>
      <c r="BR39" s="2">
        <v>1</v>
      </c>
      <c r="BS39" s="2">
        <v>0</v>
      </c>
      <c r="BT39" s="2">
        <v>0</v>
      </c>
      <c r="BU39" s="2">
        <v>0</v>
      </c>
      <c r="BV39" s="2">
        <v>0</v>
      </c>
      <c r="BW39" s="4" t="str">
        <f>BIN2HEX(BO46&amp;BO45&amp;BO44&amp;BO43&amp;BO42&amp;BO41&amp;BO40&amp;BO39)</f>
        <v>0</v>
      </c>
      <c r="BX39" s="4" t="str">
        <f t="shared" ref="BX39" si="159">BIN2HEX(BP46&amp;BP45&amp;BP44&amp;BP43&amp;BP42&amp;BP41&amp;BP40&amp;BP39)</f>
        <v>0</v>
      </c>
      <c r="BY39" s="4" t="str">
        <f t="shared" ref="BY39" si="160">BIN2HEX(BQ46&amp;BQ45&amp;BQ44&amp;BQ43&amp;BQ42&amp;BQ41&amp;BQ40&amp;BQ39)</f>
        <v>0</v>
      </c>
      <c r="BZ39" s="4" t="str">
        <f t="shared" ref="BZ39" si="161">BIN2HEX(BR46&amp;BR45&amp;BR44&amp;BR43&amp;BR42&amp;BR41&amp;BR40&amp;BR39)</f>
        <v>7F</v>
      </c>
      <c r="CA39" s="4" t="str">
        <f t="shared" ref="CA39" si="162">BIN2HEX(BS46&amp;BS45&amp;BS44&amp;BS43&amp;BS42&amp;BS41&amp;BS40&amp;BS39)</f>
        <v>0</v>
      </c>
      <c r="CB39" s="4" t="str">
        <f t="shared" ref="CB39" si="163">BIN2HEX(BT46&amp;BT45&amp;BT44&amp;BT43&amp;BT42&amp;BT41&amp;BT40&amp;BT39)</f>
        <v>0</v>
      </c>
      <c r="CC39" s="4" t="str">
        <f t="shared" ref="CC39" si="164">BIN2HEX(BU46&amp;BU45&amp;BU44&amp;BU43&amp;BU42&amp;BU41&amp;BU40&amp;BU39)</f>
        <v>0</v>
      </c>
      <c r="CD39" s="3" t="str">
        <f>BIN2HEX(BV46&amp;BV45&amp;BV44&amp;BV43&amp;BV42&amp;BV41&amp;BV40&amp;BV39)</f>
        <v>0</v>
      </c>
      <c r="CE39" s="2">
        <v>0</v>
      </c>
      <c r="CF39" s="2">
        <v>0</v>
      </c>
      <c r="CG39" s="2">
        <v>0</v>
      </c>
      <c r="CH39" s="5">
        <v>0</v>
      </c>
      <c r="CI39" s="5">
        <v>0</v>
      </c>
      <c r="CJ39" s="2">
        <v>1</v>
      </c>
      <c r="CK39" s="2">
        <v>0</v>
      </c>
      <c r="CL39" s="2">
        <v>0</v>
      </c>
      <c r="CM39" s="4" t="str">
        <f t="shared" ref="CM39:CR39" si="165">BIN2HEX(CE46&amp;CE45&amp;CE44&amp;CE43&amp;CE42&amp;CE41&amp;CE40&amp;CE39)</f>
        <v>0</v>
      </c>
      <c r="CN39" s="4" t="str">
        <f t="shared" si="165"/>
        <v>0</v>
      </c>
      <c r="CO39" s="4" t="str">
        <f t="shared" si="165"/>
        <v>20</v>
      </c>
      <c r="CP39" s="4" t="str">
        <f t="shared" si="165"/>
        <v>40</v>
      </c>
      <c r="CQ39" s="4" t="str">
        <f t="shared" si="165"/>
        <v>40</v>
      </c>
      <c r="CR39" s="4" t="str">
        <f t="shared" si="165"/>
        <v>3F</v>
      </c>
      <c r="CS39" s="4" t="str">
        <f t="shared" ref="CS39" si="166">BIN2HEX(CK46&amp;CK45&amp;CK44&amp;CK43&amp;CK42&amp;CK41&amp;CK40&amp;CK39)</f>
        <v>0</v>
      </c>
      <c r="CT39" s="3" t="str">
        <f>BIN2HEX(CL46&amp;CL45&amp;CL44&amp;CL43&amp;CL42&amp;CL41&amp;CL40&amp;CL39)</f>
        <v>0</v>
      </c>
    </row>
    <row r="40" spans="1:98" ht="15" customHeight="1" x14ac:dyDescent="0.25">
      <c r="A40" s="14">
        <v>0</v>
      </c>
      <c r="B40" s="14">
        <v>1</v>
      </c>
      <c r="C40" s="14">
        <v>0</v>
      </c>
      <c r="D40" s="14">
        <v>0</v>
      </c>
      <c r="E40" s="14">
        <v>0</v>
      </c>
      <c r="F40" s="14">
        <v>1</v>
      </c>
      <c r="G40" s="14">
        <v>0</v>
      </c>
      <c r="H40" s="14">
        <v>0</v>
      </c>
      <c r="I40" s="36" t="str">
        <f>"0x"&amp;I39&amp;", 0x"&amp;J39&amp;", 0x"&amp;K39&amp;", 0x"&amp;L39&amp;", 0x"&amp;M39&amp;", 0x"&amp;N39&amp;", 0x"&amp;O39&amp;", 0x"&amp;P39</f>
        <v>0x0, 0x3E, 0x41, 0x41, 0x41, 0x3E, 0x0, 0x0</v>
      </c>
      <c r="J40" s="34"/>
      <c r="K40" s="34"/>
      <c r="L40" s="34"/>
      <c r="M40" s="34"/>
      <c r="N40" s="34"/>
      <c r="O40" s="34"/>
      <c r="P40" s="34"/>
      <c r="Q40" s="14">
        <v>0</v>
      </c>
      <c r="R40" s="14">
        <v>1</v>
      </c>
      <c r="S40" s="14">
        <v>0</v>
      </c>
      <c r="T40" s="14">
        <v>0</v>
      </c>
      <c r="U40" s="14">
        <v>0</v>
      </c>
      <c r="V40" s="14">
        <v>1</v>
      </c>
      <c r="W40" s="14">
        <v>0</v>
      </c>
      <c r="X40" s="14">
        <v>0</v>
      </c>
      <c r="Y40" s="36" t="str">
        <f>"0x"&amp;Y39&amp;", 0x"&amp;Z39&amp;", 0x"&amp;AA39&amp;", 0x"&amp;AB39&amp;", 0x"&amp;AC39&amp;", 0x"&amp;AD39&amp;", 0x"&amp;AE39&amp;", 0x"&amp;AF39</f>
        <v>0x0, 0x7F, 0x1, 0x1, 0x1, 0x7F, 0x0, 0x0</v>
      </c>
      <c r="Z40" s="34"/>
      <c r="AA40" s="34"/>
      <c r="AB40" s="34"/>
      <c r="AC40" s="34"/>
      <c r="AD40" s="34"/>
      <c r="AE40" s="34"/>
      <c r="AF40" s="37"/>
      <c r="AG40" s="14">
        <v>0</v>
      </c>
      <c r="AH40" s="14">
        <v>1</v>
      </c>
      <c r="AI40" s="14">
        <v>0</v>
      </c>
      <c r="AJ40" s="14">
        <v>0</v>
      </c>
      <c r="AK40" s="14">
        <v>0</v>
      </c>
      <c r="AL40" s="14">
        <v>1</v>
      </c>
      <c r="AM40" s="14">
        <v>0</v>
      </c>
      <c r="AN40" s="14">
        <v>0</v>
      </c>
      <c r="AO40" s="36" t="str">
        <f>"0x"&amp;AO39&amp;", 0x"&amp;AP39&amp;", 0x"&amp;AQ39&amp;", 0x"&amp;AR39&amp;", 0x"&amp;AS39&amp;", 0x"&amp;AT39&amp;", 0x"&amp;AU39&amp;", 0x"&amp;AV39</f>
        <v>0x0, 0x7F, 0x9, 0x9, 0x9, 0x6, 0x0, 0x0</v>
      </c>
      <c r="AP40" s="34"/>
      <c r="AQ40" s="34"/>
      <c r="AR40" s="34"/>
      <c r="AS40" s="34"/>
      <c r="AT40" s="34"/>
      <c r="AU40" s="34"/>
      <c r="AV40" s="37"/>
      <c r="AW40" s="14">
        <v>0</v>
      </c>
      <c r="AX40" s="11">
        <v>0</v>
      </c>
      <c r="AY40" s="14">
        <v>1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36" t="str">
        <f>"0x"&amp;BE39&amp;", 0x"&amp;BF39&amp;", 0x"&amp;BG39&amp;", 0x"&amp;BH39&amp;", 0x"&amp;BI39&amp;", 0x"&amp;BJ39&amp;", 0x"&amp;BK39&amp;", 0x"&amp;BL39</f>
        <v>0x0, 0x0, 0x3E, 0x41, 0x41, 0x41, 0x0, 0x0</v>
      </c>
      <c r="BF40" s="34"/>
      <c r="BG40" s="34"/>
      <c r="BH40" s="34"/>
      <c r="BI40" s="34"/>
      <c r="BJ40" s="34"/>
      <c r="BK40" s="34"/>
      <c r="BL40" s="37"/>
      <c r="BO40" s="5">
        <v>0</v>
      </c>
      <c r="BP40" s="2">
        <v>0</v>
      </c>
      <c r="BQ40" s="2">
        <v>0</v>
      </c>
      <c r="BR40" s="5">
        <v>1</v>
      </c>
      <c r="BS40" s="2">
        <v>0</v>
      </c>
      <c r="BT40" s="2">
        <v>0</v>
      </c>
      <c r="BU40" s="2">
        <v>0</v>
      </c>
      <c r="BV40" s="2">
        <v>0</v>
      </c>
      <c r="BW40" s="46" t="str">
        <f>"0x"&amp;BW39&amp;", 0x"&amp;BX39&amp;", 0x"&amp;BY39&amp;", 0x"&amp;BZ39&amp;", 0x"&amp;CA39&amp;", 0x"&amp;CB39&amp;", 0x"&amp;CC39&amp;", 0x"&amp;CD39</f>
        <v>0x0, 0x0, 0x0, 0x7F, 0x0, 0x0, 0x0, 0x0</v>
      </c>
      <c r="BX40" s="47"/>
      <c r="BY40" s="47"/>
      <c r="BZ40" s="47"/>
      <c r="CA40" s="47"/>
      <c r="CB40" s="47"/>
      <c r="CC40" s="47"/>
      <c r="CD40" s="48"/>
      <c r="CE40" s="5">
        <v>0</v>
      </c>
      <c r="CF40" s="2">
        <v>0</v>
      </c>
      <c r="CG40" s="2">
        <v>0</v>
      </c>
      <c r="CH40" s="5">
        <v>0</v>
      </c>
      <c r="CI40" s="5">
        <v>0</v>
      </c>
      <c r="CJ40" s="5">
        <v>1</v>
      </c>
      <c r="CK40" s="2">
        <v>0</v>
      </c>
      <c r="CL40" s="2">
        <v>0</v>
      </c>
      <c r="CM40" s="46" t="str">
        <f>"0x"&amp;CM39&amp;", 0x"&amp;CN39&amp;", 0x"&amp;CO39&amp;", 0x"&amp;CP39&amp;", 0x"&amp;CQ39&amp;", 0x"&amp;CR39&amp;", 0x"&amp;CS39&amp;", 0x"&amp;CT39</f>
        <v>0x0, 0x0, 0x20, 0x40, 0x40, 0x3F, 0x0, 0x0</v>
      </c>
      <c r="CN40" s="47"/>
      <c r="CO40" s="47"/>
      <c r="CP40" s="47"/>
      <c r="CQ40" s="47"/>
      <c r="CR40" s="47"/>
      <c r="CS40" s="47"/>
      <c r="CT40" s="48"/>
    </row>
    <row r="41" spans="1:98" x14ac:dyDescent="0.25">
      <c r="A41" s="14">
        <v>0</v>
      </c>
      <c r="B41" s="14">
        <v>1</v>
      </c>
      <c r="C41" s="14">
        <v>0</v>
      </c>
      <c r="D41" s="14">
        <v>0</v>
      </c>
      <c r="E41" s="14">
        <v>0</v>
      </c>
      <c r="F41" s="14">
        <v>1</v>
      </c>
      <c r="G41" s="14">
        <v>0</v>
      </c>
      <c r="H41" s="14">
        <v>0</v>
      </c>
      <c r="I41" s="36"/>
      <c r="J41" s="34"/>
      <c r="K41" s="34"/>
      <c r="L41" s="34"/>
      <c r="M41" s="34"/>
      <c r="N41" s="34"/>
      <c r="O41" s="34"/>
      <c r="P41" s="34"/>
      <c r="Q41" s="14">
        <v>0</v>
      </c>
      <c r="R41" s="14">
        <v>1</v>
      </c>
      <c r="S41" s="14">
        <v>0</v>
      </c>
      <c r="T41" s="14">
        <v>0</v>
      </c>
      <c r="U41" s="14">
        <v>0</v>
      </c>
      <c r="V41" s="14">
        <v>1</v>
      </c>
      <c r="W41" s="14">
        <v>0</v>
      </c>
      <c r="X41" s="14">
        <v>0</v>
      </c>
      <c r="Y41" s="36"/>
      <c r="Z41" s="34"/>
      <c r="AA41" s="34"/>
      <c r="AB41" s="34"/>
      <c r="AC41" s="34"/>
      <c r="AD41" s="34"/>
      <c r="AE41" s="34"/>
      <c r="AF41" s="37"/>
      <c r="AG41" s="14">
        <v>0</v>
      </c>
      <c r="AH41" s="14">
        <v>1</v>
      </c>
      <c r="AI41" s="14">
        <v>0</v>
      </c>
      <c r="AJ41" s="14">
        <v>0</v>
      </c>
      <c r="AK41" s="14">
        <v>0</v>
      </c>
      <c r="AL41" s="14">
        <v>1</v>
      </c>
      <c r="AM41" s="14">
        <v>0</v>
      </c>
      <c r="AN41" s="14">
        <v>0</v>
      </c>
      <c r="AO41" s="36"/>
      <c r="AP41" s="34"/>
      <c r="AQ41" s="34"/>
      <c r="AR41" s="34"/>
      <c r="AS41" s="34"/>
      <c r="AT41" s="34"/>
      <c r="AU41" s="34"/>
      <c r="AV41" s="37"/>
      <c r="AW41" s="14">
        <v>0</v>
      </c>
      <c r="AX41" s="11">
        <v>0</v>
      </c>
      <c r="AY41" s="14">
        <v>1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36"/>
      <c r="BF41" s="34"/>
      <c r="BG41" s="34"/>
      <c r="BH41" s="34"/>
      <c r="BI41" s="34"/>
      <c r="BJ41" s="34"/>
      <c r="BK41" s="34"/>
      <c r="BL41" s="37"/>
      <c r="BO41" s="5">
        <v>0</v>
      </c>
      <c r="BP41" s="2">
        <v>0</v>
      </c>
      <c r="BQ41" s="2">
        <v>0</v>
      </c>
      <c r="BR41" s="5">
        <v>1</v>
      </c>
      <c r="BS41" s="2">
        <v>0</v>
      </c>
      <c r="BT41" s="2">
        <v>0</v>
      </c>
      <c r="BU41" s="2">
        <v>0</v>
      </c>
      <c r="BV41" s="2">
        <v>0</v>
      </c>
      <c r="BW41" s="46"/>
      <c r="BX41" s="47"/>
      <c r="BY41" s="47"/>
      <c r="BZ41" s="47"/>
      <c r="CA41" s="47"/>
      <c r="CB41" s="47"/>
      <c r="CC41" s="47"/>
      <c r="CD41" s="48"/>
      <c r="CE41" s="5">
        <v>0</v>
      </c>
      <c r="CF41" s="2">
        <v>0</v>
      </c>
      <c r="CG41" s="2">
        <v>0</v>
      </c>
      <c r="CH41" s="5">
        <v>0</v>
      </c>
      <c r="CI41" s="5">
        <v>0</v>
      </c>
      <c r="CJ41" s="5">
        <v>1</v>
      </c>
      <c r="CK41" s="2">
        <v>0</v>
      </c>
      <c r="CL41" s="2">
        <v>0</v>
      </c>
      <c r="CM41" s="46"/>
      <c r="CN41" s="47"/>
      <c r="CO41" s="47"/>
      <c r="CP41" s="47"/>
      <c r="CQ41" s="47"/>
      <c r="CR41" s="47"/>
      <c r="CS41" s="47"/>
      <c r="CT41" s="48"/>
    </row>
    <row r="42" spans="1:98" x14ac:dyDescent="0.25">
      <c r="A42" s="14">
        <v>0</v>
      </c>
      <c r="B42" s="14">
        <v>1</v>
      </c>
      <c r="C42" s="14">
        <v>0</v>
      </c>
      <c r="D42" s="14">
        <v>0</v>
      </c>
      <c r="E42" s="14">
        <v>0</v>
      </c>
      <c r="F42" s="14">
        <v>1</v>
      </c>
      <c r="G42" s="14">
        <v>0</v>
      </c>
      <c r="H42" s="14">
        <v>0</v>
      </c>
      <c r="I42" s="40" t="s">
        <v>16</v>
      </c>
      <c r="J42" s="41"/>
      <c r="K42" s="41"/>
      <c r="L42" s="41"/>
      <c r="M42" s="41"/>
      <c r="N42" s="41"/>
      <c r="O42" s="41"/>
      <c r="P42" s="42"/>
      <c r="Q42" s="14">
        <v>0</v>
      </c>
      <c r="R42" s="14">
        <v>1</v>
      </c>
      <c r="S42" s="14">
        <v>0</v>
      </c>
      <c r="T42" s="14">
        <v>0</v>
      </c>
      <c r="U42" s="14">
        <v>0</v>
      </c>
      <c r="V42" s="14">
        <v>1</v>
      </c>
      <c r="W42" s="14">
        <v>0</v>
      </c>
      <c r="X42" s="14">
        <v>0</v>
      </c>
      <c r="Y42" s="40" t="s">
        <v>17</v>
      </c>
      <c r="Z42" s="41"/>
      <c r="AA42" s="41"/>
      <c r="AB42" s="41"/>
      <c r="AC42" s="41"/>
      <c r="AD42" s="41"/>
      <c r="AE42" s="41"/>
      <c r="AF42" s="43"/>
      <c r="AG42" s="14">
        <v>0</v>
      </c>
      <c r="AH42" s="14">
        <v>1</v>
      </c>
      <c r="AI42" s="14">
        <v>1</v>
      </c>
      <c r="AJ42" s="14">
        <v>1</v>
      </c>
      <c r="AK42" s="14">
        <v>1</v>
      </c>
      <c r="AL42" s="14">
        <v>0</v>
      </c>
      <c r="AM42" s="14">
        <v>0</v>
      </c>
      <c r="AN42" s="14">
        <v>0</v>
      </c>
      <c r="AO42" s="40" t="s">
        <v>1</v>
      </c>
      <c r="AP42" s="41"/>
      <c r="AQ42" s="41"/>
      <c r="AR42" s="41"/>
      <c r="AS42" s="41"/>
      <c r="AT42" s="41"/>
      <c r="AU42" s="41"/>
      <c r="AV42" s="43"/>
      <c r="AW42" s="14">
        <v>0</v>
      </c>
      <c r="AX42" s="11">
        <v>0</v>
      </c>
      <c r="AY42" s="14">
        <v>1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40" t="s">
        <v>2</v>
      </c>
      <c r="BF42" s="41"/>
      <c r="BG42" s="41"/>
      <c r="BH42" s="41"/>
      <c r="BI42" s="41"/>
      <c r="BJ42" s="41"/>
      <c r="BK42" s="41"/>
      <c r="BL42" s="43"/>
      <c r="BO42" s="5">
        <v>0</v>
      </c>
      <c r="BP42" s="2">
        <v>0</v>
      </c>
      <c r="BQ42" s="2">
        <v>0</v>
      </c>
      <c r="BR42" s="5">
        <v>1</v>
      </c>
      <c r="BS42" s="2">
        <v>0</v>
      </c>
      <c r="BT42" s="2">
        <v>0</v>
      </c>
      <c r="BU42" s="2">
        <v>0</v>
      </c>
      <c r="BV42" s="2">
        <v>0</v>
      </c>
      <c r="BW42" s="51" t="s">
        <v>62</v>
      </c>
      <c r="BX42" s="52"/>
      <c r="BY42" s="52"/>
      <c r="BZ42" s="52"/>
      <c r="CA42" s="52"/>
      <c r="CB42" s="52"/>
      <c r="CC42" s="52"/>
      <c r="CD42" s="53"/>
      <c r="CE42" s="5">
        <v>0</v>
      </c>
      <c r="CF42" s="2">
        <v>0</v>
      </c>
      <c r="CG42" s="2">
        <v>0</v>
      </c>
      <c r="CH42" s="5">
        <v>0</v>
      </c>
      <c r="CI42" s="5">
        <v>0</v>
      </c>
      <c r="CJ42" s="5">
        <v>1</v>
      </c>
      <c r="CK42" s="2">
        <v>0</v>
      </c>
      <c r="CL42" s="2">
        <v>0</v>
      </c>
      <c r="CM42" s="51" t="s">
        <v>63</v>
      </c>
      <c r="CN42" s="52"/>
      <c r="CO42" s="52"/>
      <c r="CP42" s="52"/>
      <c r="CQ42" s="52"/>
      <c r="CR42" s="52"/>
      <c r="CS42" s="52"/>
      <c r="CT42" s="53"/>
    </row>
    <row r="43" spans="1:98" ht="15" customHeight="1" x14ac:dyDescent="0.25">
      <c r="A43" s="14">
        <v>0</v>
      </c>
      <c r="B43" s="14">
        <v>1</v>
      </c>
      <c r="C43" s="14">
        <v>0</v>
      </c>
      <c r="D43" s="14">
        <v>0</v>
      </c>
      <c r="E43" s="14">
        <v>0</v>
      </c>
      <c r="F43" s="14">
        <v>1</v>
      </c>
      <c r="G43" s="14">
        <v>0</v>
      </c>
      <c r="H43" s="14">
        <v>0</v>
      </c>
      <c r="I43" s="33" t="str">
        <f>"{{"&amp;I40&amp;"}"&amp;", "&amp;$I$1&amp;"},  //"&amp;I42&amp;":"&amp;M38&amp;":"&amp;O38</f>
        <v>{{0x0, 0x3E, 0x41, 0x41, 0x41, 0x3E, 0x0, 0x0}, 8},  //О:208:158</v>
      </c>
      <c r="J43" s="34"/>
      <c r="K43" s="34"/>
      <c r="L43" s="34"/>
      <c r="M43" s="34"/>
      <c r="N43" s="34"/>
      <c r="O43" s="34"/>
      <c r="P43" s="35"/>
      <c r="Q43" s="14">
        <v>0</v>
      </c>
      <c r="R43" s="14">
        <v>1</v>
      </c>
      <c r="S43" s="14">
        <v>0</v>
      </c>
      <c r="T43" s="14">
        <v>0</v>
      </c>
      <c r="U43" s="14">
        <v>0</v>
      </c>
      <c r="V43" s="14">
        <v>1</v>
      </c>
      <c r="W43" s="14">
        <v>0</v>
      </c>
      <c r="X43" s="14">
        <v>0</v>
      </c>
      <c r="Y43" s="33" t="str">
        <f>"{{"&amp;Y40&amp;"}"&amp;", "&amp;$I$1&amp;"},  //"&amp;Y42&amp;":"&amp;AC38&amp;":"&amp;AE38</f>
        <v>{{0x0, 0x7F, 0x1, 0x1, 0x1, 0x7F, 0x0, 0x0}, 8},  //П:208:159</v>
      </c>
      <c r="Z43" s="34"/>
      <c r="AA43" s="34"/>
      <c r="AB43" s="34"/>
      <c r="AC43" s="34"/>
      <c r="AD43" s="34"/>
      <c r="AE43" s="34"/>
      <c r="AF43" s="35"/>
      <c r="AG43" s="14">
        <v>0</v>
      </c>
      <c r="AH43" s="14">
        <v>1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33" t="str">
        <f>"{{"&amp;AO40&amp;"}"&amp;", "&amp;$I$1&amp;"},  //"&amp;AO42&amp;":"&amp;AS38&amp;":"&amp;AU38</f>
        <v>{{0x0, 0x7F, 0x9, 0x9, 0x9, 0x6, 0x0, 0x0}, 8},  //Р:208:160</v>
      </c>
      <c r="AP43" s="34"/>
      <c r="AQ43" s="34"/>
      <c r="AR43" s="34"/>
      <c r="AS43" s="34"/>
      <c r="AT43" s="34"/>
      <c r="AU43" s="34"/>
      <c r="AV43" s="35"/>
      <c r="AW43" s="14">
        <v>0</v>
      </c>
      <c r="AX43" s="11">
        <v>0</v>
      </c>
      <c r="AY43" s="14">
        <v>1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33" t="str">
        <f>"{{"&amp;BE40&amp;"}"&amp;", "&amp;$I$1&amp;"},  //"&amp;BE42&amp;":"&amp;BI38&amp;":"&amp;BK38</f>
        <v>{{0x0, 0x0, 0x3E, 0x41, 0x41, 0x41, 0x0, 0x0}, 8},  //С:208:161</v>
      </c>
      <c r="BF43" s="34"/>
      <c r="BG43" s="34"/>
      <c r="BH43" s="34"/>
      <c r="BI43" s="34"/>
      <c r="BJ43" s="34"/>
      <c r="BK43" s="34"/>
      <c r="BL43" s="35"/>
      <c r="BO43" s="5">
        <v>0</v>
      </c>
      <c r="BP43" s="2">
        <v>0</v>
      </c>
      <c r="BQ43" s="2">
        <v>0</v>
      </c>
      <c r="BR43" s="5">
        <v>1</v>
      </c>
      <c r="BS43" s="2">
        <v>0</v>
      </c>
      <c r="BT43" s="2">
        <v>0</v>
      </c>
      <c r="BU43" s="2">
        <v>0</v>
      </c>
      <c r="BV43" s="2">
        <v>0</v>
      </c>
      <c r="BW43" s="33" t="str">
        <f>"{{"&amp;BW40&amp;"}"&amp;", "&amp;$I$1&amp;"},  //"&amp;BW42&amp;":"&amp;CA38&amp;":"&amp;CC38</f>
        <v>{{0x0, 0x0, 0x0, 0x7F, 0x0, 0x0, 0x0, 0x0}, 8},  //I:0:73</v>
      </c>
      <c r="BX43" s="34"/>
      <c r="BY43" s="34"/>
      <c r="BZ43" s="34"/>
      <c r="CA43" s="34"/>
      <c r="CB43" s="34"/>
      <c r="CC43" s="34"/>
      <c r="CD43" s="35"/>
      <c r="CE43" s="5">
        <v>0</v>
      </c>
      <c r="CF43" s="2">
        <v>0</v>
      </c>
      <c r="CG43" s="2">
        <v>0</v>
      </c>
      <c r="CH43" s="5">
        <v>0</v>
      </c>
      <c r="CI43" s="5">
        <v>0</v>
      </c>
      <c r="CJ43" s="5">
        <v>1</v>
      </c>
      <c r="CK43" s="2">
        <v>0</v>
      </c>
      <c r="CL43" s="2">
        <v>0</v>
      </c>
      <c r="CM43" s="33" t="str">
        <f>"{{"&amp;CM40&amp;"}"&amp;", "&amp;$I$1&amp;"},  //"&amp;CM42&amp;":"&amp;CQ38&amp;":"&amp;CS38</f>
        <v>{{0x0, 0x0, 0x20, 0x40, 0x40, 0x3F, 0x0, 0x0}, 8},  //J:0:74</v>
      </c>
      <c r="CN43" s="34"/>
      <c r="CO43" s="34"/>
      <c r="CP43" s="34"/>
      <c r="CQ43" s="34"/>
      <c r="CR43" s="34"/>
      <c r="CS43" s="34"/>
      <c r="CT43" s="35"/>
    </row>
    <row r="44" spans="1:98" x14ac:dyDescent="0.25">
      <c r="A44" s="14">
        <v>0</v>
      </c>
      <c r="B44" s="14">
        <v>1</v>
      </c>
      <c r="C44" s="14">
        <v>0</v>
      </c>
      <c r="D44" s="14">
        <v>0</v>
      </c>
      <c r="E44" s="14">
        <v>0</v>
      </c>
      <c r="F44" s="14">
        <v>1</v>
      </c>
      <c r="G44" s="14">
        <v>0</v>
      </c>
      <c r="H44" s="14">
        <v>0</v>
      </c>
      <c r="I44" s="33"/>
      <c r="J44" s="34"/>
      <c r="K44" s="34"/>
      <c r="L44" s="34"/>
      <c r="M44" s="34"/>
      <c r="N44" s="34"/>
      <c r="O44" s="34"/>
      <c r="P44" s="35"/>
      <c r="Q44" s="14">
        <v>0</v>
      </c>
      <c r="R44" s="14">
        <v>1</v>
      </c>
      <c r="S44" s="14">
        <v>0</v>
      </c>
      <c r="T44" s="14">
        <v>0</v>
      </c>
      <c r="U44" s="14">
        <v>0</v>
      </c>
      <c r="V44" s="14">
        <v>1</v>
      </c>
      <c r="W44" s="14">
        <v>0</v>
      </c>
      <c r="X44" s="14">
        <v>0</v>
      </c>
      <c r="Y44" s="33"/>
      <c r="Z44" s="34"/>
      <c r="AA44" s="34"/>
      <c r="AB44" s="34"/>
      <c r="AC44" s="34"/>
      <c r="AD44" s="34"/>
      <c r="AE44" s="34"/>
      <c r="AF44" s="35"/>
      <c r="AG44" s="14">
        <v>0</v>
      </c>
      <c r="AH44" s="14">
        <v>1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33"/>
      <c r="AP44" s="34"/>
      <c r="AQ44" s="34"/>
      <c r="AR44" s="34"/>
      <c r="AS44" s="34"/>
      <c r="AT44" s="34"/>
      <c r="AU44" s="34"/>
      <c r="AV44" s="35"/>
      <c r="AW44" s="14">
        <v>0</v>
      </c>
      <c r="AX44" s="11">
        <v>0</v>
      </c>
      <c r="AY44" s="14">
        <v>1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33"/>
      <c r="BF44" s="34"/>
      <c r="BG44" s="34"/>
      <c r="BH44" s="34"/>
      <c r="BI44" s="34"/>
      <c r="BJ44" s="34"/>
      <c r="BK44" s="34"/>
      <c r="BL44" s="35"/>
      <c r="BO44" s="5">
        <v>0</v>
      </c>
      <c r="BP44" s="2">
        <v>0</v>
      </c>
      <c r="BQ44" s="2">
        <v>0</v>
      </c>
      <c r="BR44" s="5">
        <v>1</v>
      </c>
      <c r="BS44" s="2">
        <v>0</v>
      </c>
      <c r="BT44" s="2">
        <v>0</v>
      </c>
      <c r="BU44" s="2">
        <v>0</v>
      </c>
      <c r="BV44" s="2">
        <v>0</v>
      </c>
      <c r="BW44" s="33"/>
      <c r="BX44" s="34"/>
      <c r="BY44" s="34"/>
      <c r="BZ44" s="34"/>
      <c r="CA44" s="34"/>
      <c r="CB44" s="34"/>
      <c r="CC44" s="34"/>
      <c r="CD44" s="35"/>
      <c r="CE44" s="5">
        <v>0</v>
      </c>
      <c r="CF44" s="2">
        <v>0</v>
      </c>
      <c r="CG44" s="2">
        <v>1</v>
      </c>
      <c r="CH44" s="5">
        <v>0</v>
      </c>
      <c r="CI44" s="5">
        <v>0</v>
      </c>
      <c r="CJ44" s="5">
        <v>1</v>
      </c>
      <c r="CK44" s="2">
        <v>0</v>
      </c>
      <c r="CL44" s="2">
        <v>0</v>
      </c>
      <c r="CM44" s="33"/>
      <c r="CN44" s="34"/>
      <c r="CO44" s="34"/>
      <c r="CP44" s="34"/>
      <c r="CQ44" s="34"/>
      <c r="CR44" s="34"/>
      <c r="CS44" s="34"/>
      <c r="CT44" s="35"/>
    </row>
    <row r="45" spans="1:98" x14ac:dyDescent="0.25">
      <c r="A45" s="14">
        <v>0</v>
      </c>
      <c r="B45" s="14">
        <v>0</v>
      </c>
      <c r="C45" s="14">
        <v>1</v>
      </c>
      <c r="D45" s="14">
        <v>1</v>
      </c>
      <c r="E45" s="14">
        <v>1</v>
      </c>
      <c r="F45" s="14">
        <v>0</v>
      </c>
      <c r="G45" s="14">
        <v>0</v>
      </c>
      <c r="H45" s="14">
        <v>0</v>
      </c>
      <c r="I45" s="40" t="s">
        <v>48</v>
      </c>
      <c r="J45" s="41"/>
      <c r="K45" s="41"/>
      <c r="L45" s="41"/>
      <c r="M45" s="44">
        <v>208</v>
      </c>
      <c r="N45" s="44"/>
      <c r="O45" s="44">
        <v>190</v>
      </c>
      <c r="P45" s="45"/>
      <c r="Q45" s="14">
        <v>0</v>
      </c>
      <c r="R45" s="14">
        <v>1</v>
      </c>
      <c r="S45" s="14">
        <v>0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40" t="s">
        <v>48</v>
      </c>
      <c r="Z45" s="41"/>
      <c r="AA45" s="41"/>
      <c r="AB45" s="41"/>
      <c r="AC45" s="44">
        <v>208</v>
      </c>
      <c r="AD45" s="44"/>
      <c r="AE45" s="44">
        <v>191</v>
      </c>
      <c r="AF45" s="45"/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40" t="s">
        <v>48</v>
      </c>
      <c r="AP45" s="41"/>
      <c r="AQ45" s="41"/>
      <c r="AR45" s="41"/>
      <c r="AS45" s="44">
        <v>209</v>
      </c>
      <c r="AT45" s="44"/>
      <c r="AU45" s="44">
        <v>128</v>
      </c>
      <c r="AV45" s="45"/>
      <c r="AW45" s="14">
        <v>0</v>
      </c>
      <c r="AX45" s="14">
        <v>0</v>
      </c>
      <c r="AY45" s="14">
        <v>0</v>
      </c>
      <c r="AZ45" s="14">
        <v>1</v>
      </c>
      <c r="BA45" s="14">
        <v>1</v>
      </c>
      <c r="BB45" s="14">
        <v>1</v>
      </c>
      <c r="BC45" s="14">
        <v>0</v>
      </c>
      <c r="BD45" s="14">
        <v>0</v>
      </c>
      <c r="BE45" s="40" t="s">
        <v>48</v>
      </c>
      <c r="BF45" s="41"/>
      <c r="BG45" s="41"/>
      <c r="BH45" s="41"/>
      <c r="BI45" s="44">
        <v>209</v>
      </c>
      <c r="BJ45" s="44"/>
      <c r="BK45" s="44">
        <v>129</v>
      </c>
      <c r="BL45" s="45"/>
      <c r="BO45" s="5">
        <v>0</v>
      </c>
      <c r="BP45" s="2">
        <v>0</v>
      </c>
      <c r="BQ45" s="2">
        <v>0</v>
      </c>
      <c r="BR45" s="5">
        <v>1</v>
      </c>
      <c r="BS45" s="2">
        <v>0</v>
      </c>
      <c r="BT45" s="2">
        <v>0</v>
      </c>
      <c r="BU45" s="2">
        <v>0</v>
      </c>
      <c r="BV45" s="2">
        <v>0</v>
      </c>
      <c r="BW45" s="40" t="s">
        <v>48</v>
      </c>
      <c r="BX45" s="41"/>
      <c r="BY45" s="41"/>
      <c r="BZ45" s="41"/>
      <c r="CA45" s="44">
        <v>0</v>
      </c>
      <c r="CB45" s="44"/>
      <c r="CC45" s="44">
        <v>105</v>
      </c>
      <c r="CD45" s="45"/>
      <c r="CE45" s="5">
        <v>0</v>
      </c>
      <c r="CF45" s="2">
        <v>0</v>
      </c>
      <c r="CG45" s="2">
        <v>0</v>
      </c>
      <c r="CH45" s="5">
        <v>1</v>
      </c>
      <c r="CI45" s="5">
        <v>1</v>
      </c>
      <c r="CJ45" s="2">
        <v>0</v>
      </c>
      <c r="CK45" s="2">
        <v>0</v>
      </c>
      <c r="CL45" s="2">
        <v>0</v>
      </c>
      <c r="CM45" s="40" t="s">
        <v>48</v>
      </c>
      <c r="CN45" s="41"/>
      <c r="CO45" s="41"/>
      <c r="CP45" s="41"/>
      <c r="CQ45" s="44">
        <v>0</v>
      </c>
      <c r="CR45" s="44"/>
      <c r="CS45" s="44">
        <v>106</v>
      </c>
      <c r="CT45" s="45"/>
    </row>
    <row r="46" spans="1:98" x14ac:dyDescent="0.25">
      <c r="A46" s="15">
        <v>0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2"/>
      <c r="J46" s="12"/>
      <c r="K46" s="12"/>
      <c r="L46" s="12"/>
      <c r="M46" s="12"/>
      <c r="N46" s="12"/>
      <c r="O46" s="12"/>
      <c r="P46" s="12"/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2"/>
      <c r="Z46" s="12"/>
      <c r="AA46" s="12"/>
      <c r="AB46" s="12"/>
      <c r="AC46" s="12"/>
      <c r="AD46" s="12"/>
      <c r="AE46" s="12"/>
      <c r="AF46" s="13"/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2"/>
      <c r="AP46" s="12"/>
      <c r="AQ46" s="12"/>
      <c r="AR46" s="12"/>
      <c r="AS46" s="12"/>
      <c r="AT46" s="12"/>
      <c r="AU46" s="12"/>
      <c r="AV46" s="13"/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2"/>
      <c r="BF46" s="12"/>
      <c r="BG46" s="12"/>
      <c r="BH46" s="12"/>
      <c r="BI46" s="12"/>
      <c r="BJ46" s="12"/>
      <c r="BK46" s="12"/>
      <c r="BL46" s="12"/>
      <c r="BO46" s="1">
        <v>0</v>
      </c>
      <c r="BP46" s="2">
        <v>0</v>
      </c>
      <c r="BQ46" s="2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4"/>
      <c r="BX46" s="4"/>
      <c r="BY46" s="4"/>
      <c r="BZ46" s="4"/>
      <c r="CA46" s="4"/>
      <c r="CB46" s="4"/>
      <c r="CC46" s="4"/>
      <c r="CD46" s="3"/>
      <c r="CE46" s="1">
        <v>0</v>
      </c>
      <c r="CF46" s="2">
        <v>0</v>
      </c>
      <c r="CG46" s="2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4"/>
      <c r="CN46" s="4"/>
      <c r="CO46" s="4"/>
      <c r="CP46" s="4"/>
      <c r="CQ46" s="4"/>
      <c r="CR46" s="4"/>
      <c r="CS46" s="4"/>
      <c r="CT46" s="3"/>
    </row>
    <row r="47" spans="1:98" s="5" customFormat="1" x14ac:dyDescent="0.25">
      <c r="A47" s="10">
        <v>1</v>
      </c>
      <c r="B47" s="10">
        <v>2</v>
      </c>
      <c r="C47" s="10">
        <v>3</v>
      </c>
      <c r="D47" s="10">
        <v>4</v>
      </c>
      <c r="E47" s="10">
        <v>5</v>
      </c>
      <c r="F47" s="10">
        <v>6</v>
      </c>
      <c r="G47" s="10">
        <v>7</v>
      </c>
      <c r="H47" s="10">
        <v>8</v>
      </c>
      <c r="I47" s="38" t="s">
        <v>0</v>
      </c>
      <c r="J47" s="38"/>
      <c r="K47" s="38"/>
      <c r="L47" s="38"/>
      <c r="M47" s="39">
        <v>208</v>
      </c>
      <c r="N47" s="39"/>
      <c r="O47" s="39">
        <v>162</v>
      </c>
      <c r="P47" s="39"/>
      <c r="Q47" s="10">
        <v>1</v>
      </c>
      <c r="R47" s="10">
        <v>2</v>
      </c>
      <c r="S47" s="10">
        <v>3</v>
      </c>
      <c r="T47" s="10">
        <v>4</v>
      </c>
      <c r="U47" s="10">
        <v>5</v>
      </c>
      <c r="V47" s="10">
        <v>6</v>
      </c>
      <c r="W47" s="10">
        <v>7</v>
      </c>
      <c r="X47" s="10">
        <v>8</v>
      </c>
      <c r="Y47" s="38" t="s">
        <v>0</v>
      </c>
      <c r="Z47" s="38"/>
      <c r="AA47" s="38"/>
      <c r="AB47" s="38"/>
      <c r="AC47" s="39">
        <v>208</v>
      </c>
      <c r="AD47" s="39"/>
      <c r="AE47" s="39">
        <v>163</v>
      </c>
      <c r="AF47" s="39"/>
      <c r="AG47" s="10">
        <v>1</v>
      </c>
      <c r="AH47" s="10">
        <v>2</v>
      </c>
      <c r="AI47" s="10">
        <v>3</v>
      </c>
      <c r="AJ47" s="10">
        <v>4</v>
      </c>
      <c r="AK47" s="10">
        <v>5</v>
      </c>
      <c r="AL47" s="10">
        <v>6</v>
      </c>
      <c r="AM47" s="10">
        <v>7</v>
      </c>
      <c r="AN47" s="10">
        <v>8</v>
      </c>
      <c r="AO47" s="38" t="s">
        <v>0</v>
      </c>
      <c r="AP47" s="38"/>
      <c r="AQ47" s="38"/>
      <c r="AR47" s="38"/>
      <c r="AS47" s="39">
        <v>208</v>
      </c>
      <c r="AT47" s="39"/>
      <c r="AU47" s="39">
        <v>164</v>
      </c>
      <c r="AV47" s="39"/>
      <c r="AW47" s="10">
        <v>1</v>
      </c>
      <c r="AX47" s="10">
        <v>2</v>
      </c>
      <c r="AY47" s="10">
        <v>3</v>
      </c>
      <c r="AZ47" s="10">
        <v>4</v>
      </c>
      <c r="BA47" s="10">
        <v>5</v>
      </c>
      <c r="BB47" s="10">
        <v>6</v>
      </c>
      <c r="BC47" s="10">
        <v>7</v>
      </c>
      <c r="BD47" s="10">
        <v>8</v>
      </c>
      <c r="BE47" s="38" t="s">
        <v>0</v>
      </c>
      <c r="BF47" s="38"/>
      <c r="BG47" s="38"/>
      <c r="BH47" s="38"/>
      <c r="BI47" s="39">
        <v>208</v>
      </c>
      <c r="BJ47" s="39"/>
      <c r="BK47" s="39">
        <v>165</v>
      </c>
      <c r="BL47" s="39"/>
      <c r="BM47" s="20"/>
      <c r="BN47" s="20"/>
      <c r="BO47" s="10">
        <v>1</v>
      </c>
      <c r="BP47" s="10">
        <v>2</v>
      </c>
      <c r="BQ47" s="10">
        <v>3</v>
      </c>
      <c r="BR47" s="10">
        <v>4</v>
      </c>
      <c r="BS47" s="10">
        <v>5</v>
      </c>
      <c r="BT47" s="10">
        <v>6</v>
      </c>
      <c r="BU47" s="10">
        <v>7</v>
      </c>
      <c r="BV47" s="10">
        <v>8</v>
      </c>
      <c r="BW47" s="38" t="s">
        <v>0</v>
      </c>
      <c r="BX47" s="38"/>
      <c r="BY47" s="38"/>
      <c r="BZ47" s="38"/>
      <c r="CA47" s="39">
        <v>0</v>
      </c>
      <c r="CB47" s="39"/>
      <c r="CC47" s="39">
        <v>75</v>
      </c>
      <c r="CD47" s="39"/>
      <c r="CE47" s="7">
        <v>1</v>
      </c>
      <c r="CF47" s="7">
        <v>2</v>
      </c>
      <c r="CG47" s="7">
        <v>3</v>
      </c>
      <c r="CH47" s="7">
        <v>4</v>
      </c>
      <c r="CI47" s="7">
        <v>5</v>
      </c>
      <c r="CJ47" s="7">
        <v>6</v>
      </c>
      <c r="CK47" s="7">
        <v>7</v>
      </c>
      <c r="CL47" s="7">
        <v>8</v>
      </c>
      <c r="CM47" s="50" t="s">
        <v>0</v>
      </c>
      <c r="CN47" s="50"/>
      <c r="CO47" s="50"/>
      <c r="CP47" s="50"/>
      <c r="CQ47" s="49">
        <v>0</v>
      </c>
      <c r="CR47" s="49"/>
      <c r="CS47" s="49">
        <v>76</v>
      </c>
      <c r="CT47" s="49"/>
    </row>
    <row r="48" spans="1:98" x14ac:dyDescent="0.25">
      <c r="A48" s="11">
        <v>0</v>
      </c>
      <c r="B48" s="11">
        <v>1</v>
      </c>
      <c r="C48" s="11">
        <v>1</v>
      </c>
      <c r="D48" s="11">
        <v>1</v>
      </c>
      <c r="E48" s="11">
        <v>1</v>
      </c>
      <c r="F48" s="11">
        <v>1</v>
      </c>
      <c r="G48" s="11">
        <v>0</v>
      </c>
      <c r="H48" s="11">
        <v>0</v>
      </c>
      <c r="I48" s="12" t="str">
        <f>BIN2HEX(A55&amp;A54&amp;A53&amp;A52&amp;A51&amp;A50&amp;A49&amp;A48)</f>
        <v>0</v>
      </c>
      <c r="J48" s="12" t="str">
        <f t="shared" ref="J48" si="167">BIN2HEX(B55&amp;B54&amp;B53&amp;B52&amp;B51&amp;B50&amp;B49&amp;B48)</f>
        <v>1</v>
      </c>
      <c r="K48" s="12" t="str">
        <f t="shared" ref="K48" si="168">BIN2HEX(C55&amp;C54&amp;C53&amp;C52&amp;C51&amp;C50&amp;C49&amp;C48)</f>
        <v>1</v>
      </c>
      <c r="L48" s="12" t="str">
        <f t="shared" ref="L48" si="169">BIN2HEX(D55&amp;D54&amp;D53&amp;D52&amp;D51&amp;D50&amp;D49&amp;D48)</f>
        <v>7F</v>
      </c>
      <c r="M48" s="12" t="str">
        <f t="shared" ref="M48" si="170">BIN2HEX(E55&amp;E54&amp;E53&amp;E52&amp;E51&amp;E50&amp;E49&amp;E48)</f>
        <v>1</v>
      </c>
      <c r="N48" s="12" t="str">
        <f t="shared" ref="N48" si="171">BIN2HEX(F55&amp;F54&amp;F53&amp;F52&amp;F51&amp;F50&amp;F49&amp;F48)</f>
        <v>1</v>
      </c>
      <c r="O48" s="12" t="str">
        <f t="shared" ref="O48" si="172">BIN2HEX(G55&amp;G54&amp;G53&amp;G52&amp;G51&amp;G50&amp;G49&amp;G48)</f>
        <v>0</v>
      </c>
      <c r="P48" s="12" t="str">
        <f>BIN2HEX(H55&amp;H54&amp;H53&amp;H52&amp;H51&amp;H50&amp;H49&amp;H48)</f>
        <v>0</v>
      </c>
      <c r="Q48" s="11">
        <v>0</v>
      </c>
      <c r="R48" s="11">
        <v>1</v>
      </c>
      <c r="S48" s="11">
        <v>0</v>
      </c>
      <c r="T48" s="11">
        <v>0</v>
      </c>
      <c r="U48" s="11">
        <v>0</v>
      </c>
      <c r="V48" s="11">
        <v>1</v>
      </c>
      <c r="W48" s="11">
        <v>0</v>
      </c>
      <c r="X48" s="11">
        <v>0</v>
      </c>
      <c r="Y48" s="12" t="str">
        <f>BIN2HEX(Q55&amp;Q54&amp;Q53&amp;Q52&amp;Q51&amp;Q50&amp;Q49&amp;Q48)</f>
        <v>0</v>
      </c>
      <c r="Z48" s="12" t="str">
        <f t="shared" ref="Z48" si="173">BIN2HEX(R55&amp;R54&amp;R53&amp;R52&amp;R51&amp;R50&amp;R49&amp;R48)</f>
        <v>27</v>
      </c>
      <c r="AA48" s="12" t="str">
        <f t="shared" ref="AA48" si="174">BIN2HEX(S55&amp;S54&amp;S53&amp;S52&amp;S51&amp;S50&amp;S49&amp;S48)</f>
        <v>48</v>
      </c>
      <c r="AB48" s="12" t="str">
        <f t="shared" ref="AB48" si="175">BIN2HEX(T55&amp;T54&amp;T53&amp;T52&amp;T51&amp;T50&amp;T49&amp;T48)</f>
        <v>48</v>
      </c>
      <c r="AC48" s="12" t="str">
        <f t="shared" ref="AC48" si="176">BIN2HEX(U55&amp;U54&amp;U53&amp;U52&amp;U51&amp;U50&amp;U49&amp;U48)</f>
        <v>48</v>
      </c>
      <c r="AD48" s="12" t="str">
        <f t="shared" ref="AD48" si="177">BIN2HEX(V55&amp;V54&amp;V53&amp;V52&amp;V51&amp;V50&amp;V49&amp;V48)</f>
        <v>3F</v>
      </c>
      <c r="AE48" s="12" t="str">
        <f t="shared" ref="AE48" si="178">BIN2HEX(W55&amp;W54&amp;W53&amp;W52&amp;W51&amp;W50&amp;W49&amp;W48)</f>
        <v>0</v>
      </c>
      <c r="AF48" s="13" t="str">
        <f>BIN2HEX(X55&amp;X54&amp;X53&amp;X52&amp;X51&amp;X50&amp;X49&amp;X48)</f>
        <v>0</v>
      </c>
      <c r="AG48" s="11">
        <v>0</v>
      </c>
      <c r="AH48" s="11">
        <v>0</v>
      </c>
      <c r="AI48" s="11">
        <v>1</v>
      </c>
      <c r="AJ48" s="11">
        <v>1</v>
      </c>
      <c r="AK48" s="11">
        <v>1</v>
      </c>
      <c r="AL48" s="11">
        <v>0</v>
      </c>
      <c r="AM48" s="11">
        <v>0</v>
      </c>
      <c r="AN48" s="11">
        <v>0</v>
      </c>
      <c r="AO48" s="12" t="str">
        <f>BIN2HEX(AG55&amp;AG54&amp;AG53&amp;AG52&amp;AG51&amp;AG50&amp;AG49&amp;AG48)</f>
        <v>0</v>
      </c>
      <c r="AP48" s="12" t="str">
        <f t="shared" ref="AP48" si="179">BIN2HEX(AH55&amp;AH54&amp;AH53&amp;AH52&amp;AH51&amp;AH50&amp;AH49&amp;AH48)</f>
        <v>E</v>
      </c>
      <c r="AQ48" s="12" t="str">
        <f t="shared" ref="AQ48" si="180">BIN2HEX(AI55&amp;AI54&amp;AI53&amp;AI52&amp;AI51&amp;AI50&amp;AI49&amp;AI48)</f>
        <v>11</v>
      </c>
      <c r="AR48" s="12" t="str">
        <f t="shared" ref="AR48" si="181">BIN2HEX(AJ55&amp;AJ54&amp;AJ53&amp;AJ52&amp;AJ51&amp;AJ50&amp;AJ49&amp;AJ48)</f>
        <v>7F</v>
      </c>
      <c r="AS48" s="12" t="str">
        <f t="shared" ref="AS48" si="182">BIN2HEX(AK55&amp;AK54&amp;AK53&amp;AK52&amp;AK51&amp;AK50&amp;AK49&amp;AK48)</f>
        <v>11</v>
      </c>
      <c r="AT48" s="12" t="str">
        <f t="shared" ref="AT48" si="183">BIN2HEX(AL55&amp;AL54&amp;AL53&amp;AL52&amp;AL51&amp;AL50&amp;AL49&amp;AL48)</f>
        <v>E</v>
      </c>
      <c r="AU48" s="12" t="str">
        <f t="shared" ref="AU48" si="184">BIN2HEX(AM55&amp;AM54&amp;AM53&amp;AM52&amp;AM51&amp;AM50&amp;AM49&amp;AM48)</f>
        <v>0</v>
      </c>
      <c r="AV48" s="13" t="str">
        <f>BIN2HEX(AN55&amp;AN54&amp;AN53&amp;AN52&amp;AN51&amp;AN50&amp;AN49&amp;AN48)</f>
        <v>0</v>
      </c>
      <c r="AW48" s="11">
        <v>0</v>
      </c>
      <c r="AX48" s="11">
        <v>1</v>
      </c>
      <c r="AY48" s="11">
        <v>0</v>
      </c>
      <c r="AZ48" s="11">
        <v>0</v>
      </c>
      <c r="BA48" s="11">
        <v>0</v>
      </c>
      <c r="BB48" s="11">
        <v>1</v>
      </c>
      <c r="BC48" s="11">
        <v>0</v>
      </c>
      <c r="BD48" s="11">
        <v>0</v>
      </c>
      <c r="BE48" s="12" t="str">
        <f>BIN2HEX(AW55&amp;AW54&amp;AW53&amp;AW52&amp;AW51&amp;AW50&amp;AW49&amp;AW48)</f>
        <v>0</v>
      </c>
      <c r="BF48" s="12" t="str">
        <f t="shared" ref="BF48" si="185">BIN2HEX(AX55&amp;AX54&amp;AX53&amp;AX52&amp;AX51&amp;AX50&amp;AX49&amp;AX48)</f>
        <v>63</v>
      </c>
      <c r="BG48" s="12" t="str">
        <f t="shared" ref="BG48" si="186">BIN2HEX(AY55&amp;AY54&amp;AY53&amp;AY52&amp;AY51&amp;AY50&amp;AY49&amp;AY48)</f>
        <v>14</v>
      </c>
      <c r="BH48" s="12" t="str">
        <f t="shared" ref="BH48" si="187">BIN2HEX(AZ55&amp;AZ54&amp;AZ53&amp;AZ52&amp;AZ51&amp;AZ50&amp;AZ49&amp;AZ48)</f>
        <v>8</v>
      </c>
      <c r="BI48" s="12" t="str">
        <f t="shared" ref="BI48" si="188">BIN2HEX(BA55&amp;BA54&amp;BA53&amp;BA52&amp;BA51&amp;BA50&amp;BA49&amp;BA48)</f>
        <v>14</v>
      </c>
      <c r="BJ48" s="12" t="str">
        <f t="shared" ref="BJ48" si="189">BIN2HEX(BB55&amp;BB54&amp;BB53&amp;BB52&amp;BB51&amp;BB50&amp;BB49&amp;BB48)</f>
        <v>63</v>
      </c>
      <c r="BK48" s="12" t="str">
        <f t="shared" ref="BK48" si="190">BIN2HEX(BC55&amp;BC54&amp;BC53&amp;BC52&amp;BC51&amp;BC50&amp;BC49&amp;BC48)</f>
        <v>0</v>
      </c>
      <c r="BL48" s="12" t="str">
        <f>BIN2HEX(BD55&amp;BD54&amp;BD53&amp;BD52&amp;BD51&amp;BD50&amp;BD49&amp;BD48)</f>
        <v>0</v>
      </c>
      <c r="BO48" s="11">
        <v>0</v>
      </c>
      <c r="BP48" s="11">
        <v>0</v>
      </c>
      <c r="BQ48" s="11">
        <v>1</v>
      </c>
      <c r="BR48" s="11">
        <v>0</v>
      </c>
      <c r="BS48" s="11">
        <v>0</v>
      </c>
      <c r="BT48" s="11">
        <v>1</v>
      </c>
      <c r="BU48" s="11">
        <v>0</v>
      </c>
      <c r="BV48" s="11">
        <v>0</v>
      </c>
      <c r="BW48" s="12" t="str">
        <f>BIN2HEX(BO55&amp;BO54&amp;BO53&amp;BO52&amp;BO51&amp;BO50&amp;BO49&amp;BO48)</f>
        <v>0</v>
      </c>
      <c r="BX48" s="12" t="str">
        <f t="shared" ref="BX48" si="191">BIN2HEX(BP55&amp;BP54&amp;BP53&amp;BP52&amp;BP51&amp;BP50&amp;BP49&amp;BP48)</f>
        <v>0</v>
      </c>
      <c r="BY48" s="12" t="str">
        <f t="shared" ref="BY48" si="192">BIN2HEX(BQ55&amp;BQ54&amp;BQ53&amp;BQ52&amp;BQ51&amp;BQ50&amp;BQ49&amp;BQ48)</f>
        <v>7F</v>
      </c>
      <c r="BZ48" s="12" t="str">
        <f t="shared" ref="BZ48" si="193">BIN2HEX(BR55&amp;BR54&amp;BR53&amp;BR52&amp;BR51&amp;BR50&amp;BR49&amp;BR48)</f>
        <v>8</v>
      </c>
      <c r="CA48" s="12" t="str">
        <f t="shared" ref="CA48" si="194">BIN2HEX(BS55&amp;BS54&amp;BS53&amp;BS52&amp;BS51&amp;BS50&amp;BS49&amp;BS48)</f>
        <v>14</v>
      </c>
      <c r="CB48" s="12" t="str">
        <f t="shared" ref="CB48" si="195">BIN2HEX(BT55&amp;BT54&amp;BT53&amp;BT52&amp;BT51&amp;BT50&amp;BT49&amp;BT48)</f>
        <v>63</v>
      </c>
      <c r="CC48" s="12" t="str">
        <f t="shared" ref="CC48" si="196">BIN2HEX(BU55&amp;BU54&amp;BU53&amp;BU52&amp;BU51&amp;BU50&amp;BU49&amp;BU48)</f>
        <v>0</v>
      </c>
      <c r="CD48" s="12" t="str">
        <f>BIN2HEX(BV55&amp;BV54&amp;BV53&amp;BV52&amp;BV51&amp;BV50&amp;BV49&amp;BV48)</f>
        <v>0</v>
      </c>
      <c r="CE48" s="2">
        <v>0</v>
      </c>
      <c r="CF48" s="2">
        <v>0</v>
      </c>
      <c r="CG48" s="2">
        <v>1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4" t="str">
        <f>BIN2HEX(CE55&amp;CE54&amp;CE53&amp;CE52&amp;CE51&amp;CE50&amp;CE49&amp;CE48)</f>
        <v>0</v>
      </c>
      <c r="CN48" s="4" t="str">
        <f t="shared" ref="CN48" si="197">BIN2HEX(CF55&amp;CF54&amp;CF53&amp;CF52&amp;CF51&amp;CF50&amp;CF49&amp;CF48)</f>
        <v>0</v>
      </c>
      <c r="CO48" s="4" t="str">
        <f t="shared" ref="CO48" si="198">BIN2HEX(CG55&amp;CG54&amp;CG53&amp;CG52&amp;CG51&amp;CG50&amp;CG49&amp;CG48)</f>
        <v>7F</v>
      </c>
      <c r="CP48" s="4" t="str">
        <f t="shared" ref="CP48" si="199">BIN2HEX(CH55&amp;CH54&amp;CH53&amp;CH52&amp;CH51&amp;CH50&amp;CH49&amp;CH48)</f>
        <v>40</v>
      </c>
      <c r="CQ48" s="4" t="str">
        <f t="shared" ref="CQ48" si="200">BIN2HEX(CI55&amp;CI54&amp;CI53&amp;CI52&amp;CI51&amp;CI50&amp;CI49&amp;CI48)</f>
        <v>40</v>
      </c>
      <c r="CR48" s="4" t="str">
        <f t="shared" ref="CR48" si="201">BIN2HEX(CJ55&amp;CJ54&amp;CJ53&amp;CJ52&amp;CJ51&amp;CJ50&amp;CJ49&amp;CJ48)</f>
        <v>40</v>
      </c>
      <c r="CS48" s="4" t="str">
        <f t="shared" ref="CS48" si="202">BIN2HEX(CK55&amp;CK54&amp;CK53&amp;CK52&amp;CK51&amp;CK50&amp;CK49&amp;CK48)</f>
        <v>0</v>
      </c>
      <c r="CT48" s="3" t="str">
        <f>BIN2HEX(CL55&amp;CL54&amp;CL53&amp;CL52&amp;CL51&amp;CL50&amp;CL49&amp;CL48)</f>
        <v>0</v>
      </c>
    </row>
    <row r="49" spans="1:98" x14ac:dyDescent="0.25">
      <c r="A49" s="14">
        <v>0</v>
      </c>
      <c r="B49" s="14">
        <v>0</v>
      </c>
      <c r="C49" s="14">
        <v>0</v>
      </c>
      <c r="D49" s="14">
        <v>1</v>
      </c>
      <c r="E49" s="14">
        <v>0</v>
      </c>
      <c r="F49" s="14">
        <v>0</v>
      </c>
      <c r="G49" s="14">
        <v>0</v>
      </c>
      <c r="H49" s="14">
        <v>0</v>
      </c>
      <c r="I49" s="36" t="str">
        <f>"0x"&amp;I48&amp;", 0x"&amp;J48&amp;", 0x"&amp;K48&amp;", 0x"&amp;L48&amp;", 0x"&amp;M48&amp;", 0x"&amp;N48&amp;", 0x"&amp;O48&amp;", 0x"&amp;P48</f>
        <v>0x0, 0x1, 0x1, 0x7F, 0x1, 0x1, 0x0, 0x0</v>
      </c>
      <c r="J49" s="34"/>
      <c r="K49" s="34"/>
      <c r="L49" s="34"/>
      <c r="M49" s="34"/>
      <c r="N49" s="34"/>
      <c r="O49" s="34"/>
      <c r="P49" s="34"/>
      <c r="Q49" s="14">
        <v>0</v>
      </c>
      <c r="R49" s="14">
        <v>1</v>
      </c>
      <c r="S49" s="14">
        <v>0</v>
      </c>
      <c r="T49" s="14">
        <v>0</v>
      </c>
      <c r="U49" s="14">
        <v>0</v>
      </c>
      <c r="V49" s="14">
        <v>1</v>
      </c>
      <c r="W49" s="14">
        <v>0</v>
      </c>
      <c r="X49" s="14">
        <v>0</v>
      </c>
      <c r="Y49" s="36" t="str">
        <f>"0x"&amp;Y48&amp;", 0x"&amp;Z48&amp;", 0x"&amp;AA48&amp;", 0x"&amp;AB48&amp;", 0x"&amp;AC48&amp;", 0x"&amp;AD48&amp;", 0x"&amp;AE48&amp;", 0x"&amp;AF48</f>
        <v>0x0, 0x27, 0x48, 0x48, 0x48, 0x3F, 0x0, 0x0</v>
      </c>
      <c r="Z49" s="34"/>
      <c r="AA49" s="34"/>
      <c r="AB49" s="34"/>
      <c r="AC49" s="34"/>
      <c r="AD49" s="34"/>
      <c r="AE49" s="34"/>
      <c r="AF49" s="37"/>
      <c r="AG49" s="14">
        <v>0</v>
      </c>
      <c r="AH49" s="14">
        <v>1</v>
      </c>
      <c r="AI49" s="14">
        <v>0</v>
      </c>
      <c r="AJ49" s="14">
        <v>1</v>
      </c>
      <c r="AK49" s="14">
        <v>0</v>
      </c>
      <c r="AL49" s="14">
        <v>1</v>
      </c>
      <c r="AM49" s="14">
        <v>0</v>
      </c>
      <c r="AN49" s="14">
        <v>0</v>
      </c>
      <c r="AO49" s="36" t="str">
        <f>"0x"&amp;AO48&amp;", 0x"&amp;AP48&amp;", 0x"&amp;AQ48&amp;", 0x"&amp;AR48&amp;", 0x"&amp;AS48&amp;", 0x"&amp;AT48&amp;", 0x"&amp;AU48&amp;", 0x"&amp;AV48</f>
        <v>0x0, 0xE, 0x11, 0x7F, 0x11, 0xE, 0x0, 0x0</v>
      </c>
      <c r="AP49" s="34"/>
      <c r="AQ49" s="34"/>
      <c r="AR49" s="34"/>
      <c r="AS49" s="34"/>
      <c r="AT49" s="34"/>
      <c r="AU49" s="34"/>
      <c r="AV49" s="37"/>
      <c r="AW49" s="14">
        <v>0</v>
      </c>
      <c r="AX49" s="14">
        <v>1</v>
      </c>
      <c r="AY49" s="14">
        <v>0</v>
      </c>
      <c r="AZ49" s="14">
        <v>0</v>
      </c>
      <c r="BA49" s="14">
        <v>0</v>
      </c>
      <c r="BB49" s="14">
        <v>1</v>
      </c>
      <c r="BC49" s="14">
        <v>0</v>
      </c>
      <c r="BD49" s="14">
        <v>0</v>
      </c>
      <c r="BE49" s="36" t="str">
        <f>"0x"&amp;BE48&amp;", 0x"&amp;BF48&amp;", 0x"&amp;BG48&amp;", 0x"&amp;BH48&amp;", 0x"&amp;BI48&amp;", 0x"&amp;BJ48&amp;", 0x"&amp;BK48&amp;", 0x"&amp;BL48</f>
        <v>0x0, 0x63, 0x14, 0x8, 0x14, 0x63, 0x0, 0x0</v>
      </c>
      <c r="BF49" s="34"/>
      <c r="BG49" s="34"/>
      <c r="BH49" s="34"/>
      <c r="BI49" s="34"/>
      <c r="BJ49" s="34"/>
      <c r="BK49" s="34"/>
      <c r="BL49" s="37"/>
      <c r="BO49" s="14">
        <v>0</v>
      </c>
      <c r="BP49" s="14">
        <v>0</v>
      </c>
      <c r="BQ49" s="14">
        <v>1</v>
      </c>
      <c r="BR49" s="14">
        <v>0</v>
      </c>
      <c r="BS49" s="14">
        <v>0</v>
      </c>
      <c r="BT49" s="14">
        <v>1</v>
      </c>
      <c r="BU49" s="14">
        <v>0</v>
      </c>
      <c r="BV49" s="14">
        <v>0</v>
      </c>
      <c r="BW49" s="36" t="str">
        <f>"0x"&amp;BW48&amp;", 0x"&amp;BX48&amp;", 0x"&amp;BY48&amp;", 0x"&amp;BZ48&amp;", 0x"&amp;CA48&amp;", 0x"&amp;CB48&amp;", 0x"&amp;CC48&amp;", 0x"&amp;CD48</f>
        <v>0x0, 0x0, 0x7F, 0x8, 0x14, 0x63, 0x0, 0x0</v>
      </c>
      <c r="BX49" s="34"/>
      <c r="BY49" s="34"/>
      <c r="BZ49" s="34"/>
      <c r="CA49" s="34"/>
      <c r="CB49" s="34"/>
      <c r="CC49" s="34"/>
      <c r="CD49" s="34"/>
      <c r="CE49" s="5">
        <v>0</v>
      </c>
      <c r="CF49" s="2">
        <v>0</v>
      </c>
      <c r="CG49" s="5">
        <v>1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46" t="str">
        <f>"0x"&amp;CM48&amp;", 0x"&amp;CN48&amp;", 0x"&amp;CO48&amp;", 0x"&amp;CP48&amp;", 0x"&amp;CQ48&amp;", 0x"&amp;CR48&amp;", 0x"&amp;CS48&amp;", 0x"&amp;CT48</f>
        <v>0x0, 0x0, 0x7F, 0x40, 0x40, 0x40, 0x0, 0x0</v>
      </c>
      <c r="CN49" s="47"/>
      <c r="CO49" s="47"/>
      <c r="CP49" s="47"/>
      <c r="CQ49" s="47"/>
      <c r="CR49" s="47"/>
      <c r="CS49" s="47"/>
      <c r="CT49" s="48"/>
    </row>
    <row r="50" spans="1:98" x14ac:dyDescent="0.25">
      <c r="A50" s="14">
        <v>0</v>
      </c>
      <c r="B50" s="14">
        <v>0</v>
      </c>
      <c r="C50" s="14">
        <v>0</v>
      </c>
      <c r="D50" s="14">
        <v>1</v>
      </c>
      <c r="E50" s="14">
        <v>0</v>
      </c>
      <c r="F50" s="14">
        <v>0</v>
      </c>
      <c r="G50" s="14">
        <v>0</v>
      </c>
      <c r="H50" s="14">
        <v>0</v>
      </c>
      <c r="I50" s="36"/>
      <c r="J50" s="34"/>
      <c r="K50" s="34"/>
      <c r="L50" s="34"/>
      <c r="M50" s="34"/>
      <c r="N50" s="34"/>
      <c r="O50" s="34"/>
      <c r="P50" s="34"/>
      <c r="Q50" s="14">
        <v>0</v>
      </c>
      <c r="R50" s="14">
        <v>1</v>
      </c>
      <c r="S50" s="14">
        <v>0</v>
      </c>
      <c r="T50" s="14">
        <v>0</v>
      </c>
      <c r="U50" s="14">
        <v>0</v>
      </c>
      <c r="V50" s="14">
        <v>1</v>
      </c>
      <c r="W50" s="14">
        <v>0</v>
      </c>
      <c r="X50" s="14">
        <v>0</v>
      </c>
      <c r="Y50" s="36"/>
      <c r="Z50" s="34"/>
      <c r="AA50" s="34"/>
      <c r="AB50" s="34"/>
      <c r="AC50" s="34"/>
      <c r="AD50" s="34"/>
      <c r="AE50" s="34"/>
      <c r="AF50" s="37"/>
      <c r="AG50" s="14">
        <v>0</v>
      </c>
      <c r="AH50" s="14">
        <v>1</v>
      </c>
      <c r="AI50" s="14">
        <v>0</v>
      </c>
      <c r="AJ50" s="14">
        <v>1</v>
      </c>
      <c r="AK50" s="14">
        <v>0</v>
      </c>
      <c r="AL50" s="14">
        <v>1</v>
      </c>
      <c r="AM50" s="14">
        <v>0</v>
      </c>
      <c r="AN50" s="14">
        <v>0</v>
      </c>
      <c r="AO50" s="36"/>
      <c r="AP50" s="34"/>
      <c r="AQ50" s="34"/>
      <c r="AR50" s="34"/>
      <c r="AS50" s="34"/>
      <c r="AT50" s="34"/>
      <c r="AU50" s="34"/>
      <c r="AV50" s="37"/>
      <c r="AW50" s="14">
        <v>0</v>
      </c>
      <c r="AX50" s="14">
        <v>0</v>
      </c>
      <c r="AY50" s="14">
        <v>1</v>
      </c>
      <c r="AZ50" s="14">
        <v>0</v>
      </c>
      <c r="BA50" s="14">
        <v>1</v>
      </c>
      <c r="BB50" s="14">
        <v>0</v>
      </c>
      <c r="BC50" s="14">
        <v>0</v>
      </c>
      <c r="BD50" s="14">
        <v>0</v>
      </c>
      <c r="BE50" s="36"/>
      <c r="BF50" s="34"/>
      <c r="BG50" s="34"/>
      <c r="BH50" s="34"/>
      <c r="BI50" s="34"/>
      <c r="BJ50" s="34"/>
      <c r="BK50" s="34"/>
      <c r="BL50" s="37"/>
      <c r="BO50" s="14">
        <v>0</v>
      </c>
      <c r="BP50" s="14">
        <v>0</v>
      </c>
      <c r="BQ50" s="14">
        <v>1</v>
      </c>
      <c r="BR50" s="14">
        <v>0</v>
      </c>
      <c r="BS50" s="14">
        <v>1</v>
      </c>
      <c r="BT50" s="14">
        <v>0</v>
      </c>
      <c r="BU50" s="14">
        <v>0</v>
      </c>
      <c r="BV50" s="14">
        <v>0</v>
      </c>
      <c r="BW50" s="36"/>
      <c r="BX50" s="34"/>
      <c r="BY50" s="34"/>
      <c r="BZ50" s="34"/>
      <c r="CA50" s="34"/>
      <c r="CB50" s="34"/>
      <c r="CC50" s="34"/>
      <c r="CD50" s="34"/>
      <c r="CE50" s="5">
        <v>0</v>
      </c>
      <c r="CF50" s="2">
        <v>0</v>
      </c>
      <c r="CG50" s="5">
        <v>1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46"/>
      <c r="CN50" s="47"/>
      <c r="CO50" s="47"/>
      <c r="CP50" s="47"/>
      <c r="CQ50" s="47"/>
      <c r="CR50" s="47"/>
      <c r="CS50" s="47"/>
      <c r="CT50" s="48"/>
    </row>
    <row r="51" spans="1:98" x14ac:dyDescent="0.25">
      <c r="A51" s="14">
        <v>0</v>
      </c>
      <c r="B51" s="14">
        <v>0</v>
      </c>
      <c r="C51" s="14">
        <v>0</v>
      </c>
      <c r="D51" s="14">
        <v>1</v>
      </c>
      <c r="E51" s="14">
        <v>0</v>
      </c>
      <c r="F51" s="14">
        <v>0</v>
      </c>
      <c r="G51" s="14">
        <v>0</v>
      </c>
      <c r="H51" s="14">
        <v>0</v>
      </c>
      <c r="I51" s="40" t="s">
        <v>18</v>
      </c>
      <c r="J51" s="41"/>
      <c r="K51" s="41"/>
      <c r="L51" s="41"/>
      <c r="M51" s="41"/>
      <c r="N51" s="41"/>
      <c r="O51" s="41"/>
      <c r="P51" s="42"/>
      <c r="Q51" s="14">
        <v>0</v>
      </c>
      <c r="R51" s="14">
        <v>0</v>
      </c>
      <c r="S51" s="14">
        <v>1</v>
      </c>
      <c r="T51" s="14">
        <v>1</v>
      </c>
      <c r="U51" s="14">
        <v>1</v>
      </c>
      <c r="V51" s="14">
        <v>1</v>
      </c>
      <c r="W51" s="14">
        <v>0</v>
      </c>
      <c r="X51" s="14">
        <v>0</v>
      </c>
      <c r="Y51" s="40" t="s">
        <v>19</v>
      </c>
      <c r="Z51" s="41"/>
      <c r="AA51" s="41"/>
      <c r="AB51" s="41"/>
      <c r="AC51" s="41"/>
      <c r="AD51" s="41"/>
      <c r="AE51" s="41"/>
      <c r="AF51" s="43"/>
      <c r="AG51" s="14">
        <v>0</v>
      </c>
      <c r="AH51" s="14">
        <v>1</v>
      </c>
      <c r="AI51" s="14">
        <v>0</v>
      </c>
      <c r="AJ51" s="14">
        <v>1</v>
      </c>
      <c r="AK51" s="14">
        <v>0</v>
      </c>
      <c r="AL51" s="14">
        <v>1</v>
      </c>
      <c r="AM51" s="14">
        <v>0</v>
      </c>
      <c r="AN51" s="14">
        <v>0</v>
      </c>
      <c r="AO51" s="40" t="s">
        <v>20</v>
      </c>
      <c r="AP51" s="41"/>
      <c r="AQ51" s="41"/>
      <c r="AR51" s="41"/>
      <c r="AS51" s="41"/>
      <c r="AT51" s="41"/>
      <c r="AU51" s="41"/>
      <c r="AV51" s="43"/>
      <c r="AW51" s="14">
        <v>0</v>
      </c>
      <c r="AX51" s="14">
        <v>0</v>
      </c>
      <c r="AY51" s="14">
        <v>0</v>
      </c>
      <c r="AZ51" s="14">
        <v>1</v>
      </c>
      <c r="BA51" s="14">
        <v>0</v>
      </c>
      <c r="BB51" s="14">
        <v>0</v>
      </c>
      <c r="BC51" s="14">
        <v>0</v>
      </c>
      <c r="BD51" s="14">
        <v>0</v>
      </c>
      <c r="BE51" s="40" t="s">
        <v>21</v>
      </c>
      <c r="BF51" s="41"/>
      <c r="BG51" s="41"/>
      <c r="BH51" s="41"/>
      <c r="BI51" s="41"/>
      <c r="BJ51" s="41"/>
      <c r="BK51" s="41"/>
      <c r="BL51" s="43"/>
      <c r="BO51" s="14">
        <v>0</v>
      </c>
      <c r="BP51" s="14">
        <v>0</v>
      </c>
      <c r="BQ51" s="14">
        <v>1</v>
      </c>
      <c r="BR51" s="14">
        <v>1</v>
      </c>
      <c r="BS51" s="14">
        <v>0</v>
      </c>
      <c r="BT51" s="14">
        <v>0</v>
      </c>
      <c r="BU51" s="14">
        <v>0</v>
      </c>
      <c r="BV51" s="14">
        <v>0</v>
      </c>
      <c r="BW51" s="40" t="s">
        <v>64</v>
      </c>
      <c r="BX51" s="41"/>
      <c r="BY51" s="41"/>
      <c r="BZ51" s="41"/>
      <c r="CA51" s="41"/>
      <c r="CB51" s="41"/>
      <c r="CC51" s="41"/>
      <c r="CD51" s="42"/>
      <c r="CE51" s="5">
        <v>0</v>
      </c>
      <c r="CF51" s="2">
        <v>0</v>
      </c>
      <c r="CG51" s="5">
        <v>1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51" t="s">
        <v>65</v>
      </c>
      <c r="CN51" s="52"/>
      <c r="CO51" s="52"/>
      <c r="CP51" s="52"/>
      <c r="CQ51" s="52"/>
      <c r="CR51" s="52"/>
      <c r="CS51" s="52"/>
      <c r="CT51" s="53"/>
    </row>
    <row r="52" spans="1:98" ht="15" customHeight="1" x14ac:dyDescent="0.25">
      <c r="A52" s="14">
        <v>0</v>
      </c>
      <c r="B52" s="14">
        <v>0</v>
      </c>
      <c r="C52" s="14">
        <v>0</v>
      </c>
      <c r="D52" s="14">
        <v>1</v>
      </c>
      <c r="E52" s="14">
        <v>0</v>
      </c>
      <c r="F52" s="14">
        <v>0</v>
      </c>
      <c r="G52" s="14">
        <v>0</v>
      </c>
      <c r="H52" s="14">
        <v>0</v>
      </c>
      <c r="I52" s="33" t="str">
        <f>"{{"&amp;I49&amp;"}"&amp;", "&amp;$I$1&amp;"},  //"&amp;I51&amp;":"&amp;M47&amp;":"&amp;O47</f>
        <v>{{0x0, 0x1, 0x1, 0x7F, 0x1, 0x1, 0x0, 0x0}, 8},  //Т:208:162</v>
      </c>
      <c r="J52" s="34"/>
      <c r="K52" s="34"/>
      <c r="L52" s="34"/>
      <c r="M52" s="34"/>
      <c r="N52" s="34"/>
      <c r="O52" s="34"/>
      <c r="P52" s="35"/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1</v>
      </c>
      <c r="W52" s="14">
        <v>0</v>
      </c>
      <c r="X52" s="14">
        <v>0</v>
      </c>
      <c r="Y52" s="33" t="str">
        <f>"{{"&amp;Y49&amp;"}"&amp;", "&amp;$I$1&amp;"},  //"&amp;Y51&amp;":"&amp;AC47&amp;":"&amp;AE47</f>
        <v>{{0x0, 0x27, 0x48, 0x48, 0x48, 0x3F, 0x0, 0x0}, 8},  //У:208:163</v>
      </c>
      <c r="Z52" s="34"/>
      <c r="AA52" s="34"/>
      <c r="AB52" s="34"/>
      <c r="AC52" s="34"/>
      <c r="AD52" s="34"/>
      <c r="AE52" s="34"/>
      <c r="AF52" s="35"/>
      <c r="AG52" s="14">
        <v>0</v>
      </c>
      <c r="AH52" s="14">
        <v>0</v>
      </c>
      <c r="AI52" s="14">
        <v>1</v>
      </c>
      <c r="AJ52" s="14">
        <v>1</v>
      </c>
      <c r="AK52" s="14">
        <v>1</v>
      </c>
      <c r="AL52" s="14">
        <v>0</v>
      </c>
      <c r="AM52" s="14">
        <v>0</v>
      </c>
      <c r="AN52" s="14">
        <v>0</v>
      </c>
      <c r="AO52" s="33" t="str">
        <f>"{{"&amp;AO49&amp;"}"&amp;", "&amp;$I$1&amp;"},  //"&amp;AO51&amp;":"&amp;AS47&amp;":"&amp;AU47</f>
        <v>{{0x0, 0xE, 0x11, 0x7F, 0x11, 0xE, 0x0, 0x0}, 8},  //Ф:208:164</v>
      </c>
      <c r="AP52" s="34"/>
      <c r="AQ52" s="34"/>
      <c r="AR52" s="34"/>
      <c r="AS52" s="34"/>
      <c r="AT52" s="34"/>
      <c r="AU52" s="34"/>
      <c r="AV52" s="35"/>
      <c r="AW52" s="14">
        <v>0</v>
      </c>
      <c r="AX52" s="14">
        <v>0</v>
      </c>
      <c r="AY52" s="14">
        <v>1</v>
      </c>
      <c r="AZ52" s="14">
        <v>0</v>
      </c>
      <c r="BA52" s="14">
        <v>1</v>
      </c>
      <c r="BB52" s="14">
        <v>0</v>
      </c>
      <c r="BC52" s="14">
        <v>0</v>
      </c>
      <c r="BD52" s="14">
        <v>0</v>
      </c>
      <c r="BE52" s="33" t="str">
        <f>"{{"&amp;BE49&amp;"}"&amp;", "&amp;$I$1&amp;"},  //"&amp;BE51&amp;":"&amp;BI47&amp;":"&amp;BK47</f>
        <v>{{0x0, 0x63, 0x14, 0x8, 0x14, 0x63, 0x0, 0x0}, 8},  //Х:208:165</v>
      </c>
      <c r="BF52" s="34"/>
      <c r="BG52" s="34"/>
      <c r="BH52" s="34"/>
      <c r="BI52" s="34"/>
      <c r="BJ52" s="34"/>
      <c r="BK52" s="34"/>
      <c r="BL52" s="35"/>
      <c r="BO52" s="14">
        <v>0</v>
      </c>
      <c r="BP52" s="14">
        <v>0</v>
      </c>
      <c r="BQ52" s="14">
        <v>1</v>
      </c>
      <c r="BR52" s="14">
        <v>0</v>
      </c>
      <c r="BS52" s="14">
        <v>1</v>
      </c>
      <c r="BT52" s="14">
        <v>0</v>
      </c>
      <c r="BU52" s="14">
        <v>0</v>
      </c>
      <c r="BV52" s="14">
        <v>0</v>
      </c>
      <c r="BW52" s="33" t="str">
        <f>"{{"&amp;BW49&amp;"}"&amp;", "&amp;$I$1&amp;"},  //"&amp;BW51&amp;":"&amp;CA47&amp;":"&amp;CC47</f>
        <v>{{0x0, 0x0, 0x7F, 0x8, 0x14, 0x63, 0x0, 0x0}, 8},  //K:0:75</v>
      </c>
      <c r="BX52" s="34"/>
      <c r="BY52" s="34"/>
      <c r="BZ52" s="34"/>
      <c r="CA52" s="34"/>
      <c r="CB52" s="34"/>
      <c r="CC52" s="34"/>
      <c r="CD52" s="35"/>
      <c r="CE52" s="5">
        <v>0</v>
      </c>
      <c r="CF52" s="2">
        <v>0</v>
      </c>
      <c r="CG52" s="5">
        <v>1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33" t="str">
        <f>"{{"&amp;CM49&amp;"}"&amp;", "&amp;$I$1&amp;"},  //"&amp;CM51&amp;":"&amp;CQ47&amp;":"&amp;CS47</f>
        <v>{{0x0, 0x0, 0x7F, 0x40, 0x40, 0x40, 0x0, 0x0}, 8},  //L:0:76</v>
      </c>
      <c r="CN52" s="34"/>
      <c r="CO52" s="34"/>
      <c r="CP52" s="34"/>
      <c r="CQ52" s="34"/>
      <c r="CR52" s="34"/>
      <c r="CS52" s="34"/>
      <c r="CT52" s="35"/>
    </row>
    <row r="53" spans="1:98" x14ac:dyDescent="0.25">
      <c r="A53" s="14">
        <v>0</v>
      </c>
      <c r="B53" s="14">
        <v>0</v>
      </c>
      <c r="C53" s="14">
        <v>0</v>
      </c>
      <c r="D53" s="14">
        <v>1</v>
      </c>
      <c r="E53" s="14">
        <v>0</v>
      </c>
      <c r="F53" s="14">
        <v>0</v>
      </c>
      <c r="G53" s="14">
        <v>0</v>
      </c>
      <c r="H53" s="14">
        <v>0</v>
      </c>
      <c r="I53" s="33"/>
      <c r="J53" s="34"/>
      <c r="K53" s="34"/>
      <c r="L53" s="34"/>
      <c r="M53" s="34"/>
      <c r="N53" s="34"/>
      <c r="O53" s="34"/>
      <c r="P53" s="35"/>
      <c r="Q53" s="14">
        <v>0</v>
      </c>
      <c r="R53" s="14">
        <v>1</v>
      </c>
      <c r="S53" s="14">
        <v>0</v>
      </c>
      <c r="T53" s="14">
        <v>0</v>
      </c>
      <c r="U53" s="14">
        <v>0</v>
      </c>
      <c r="V53" s="14">
        <v>1</v>
      </c>
      <c r="W53" s="14">
        <v>0</v>
      </c>
      <c r="X53" s="14">
        <v>0</v>
      </c>
      <c r="Y53" s="33"/>
      <c r="Z53" s="34"/>
      <c r="AA53" s="34"/>
      <c r="AB53" s="34"/>
      <c r="AC53" s="34"/>
      <c r="AD53" s="34"/>
      <c r="AE53" s="34"/>
      <c r="AF53" s="35"/>
      <c r="AG53" s="14">
        <v>0</v>
      </c>
      <c r="AH53" s="14">
        <v>0</v>
      </c>
      <c r="AI53" s="14">
        <v>0</v>
      </c>
      <c r="AJ53" s="14">
        <v>1</v>
      </c>
      <c r="AK53" s="14">
        <v>0</v>
      </c>
      <c r="AL53" s="14">
        <v>0</v>
      </c>
      <c r="AM53" s="14">
        <v>0</v>
      </c>
      <c r="AN53" s="14">
        <v>0</v>
      </c>
      <c r="AO53" s="33"/>
      <c r="AP53" s="34"/>
      <c r="AQ53" s="34"/>
      <c r="AR53" s="34"/>
      <c r="AS53" s="34"/>
      <c r="AT53" s="34"/>
      <c r="AU53" s="34"/>
      <c r="AV53" s="35"/>
      <c r="AW53" s="14">
        <v>0</v>
      </c>
      <c r="AX53" s="14">
        <v>1</v>
      </c>
      <c r="AY53" s="14">
        <v>0</v>
      </c>
      <c r="AZ53" s="14">
        <v>0</v>
      </c>
      <c r="BA53" s="14">
        <v>0</v>
      </c>
      <c r="BB53" s="14">
        <v>1</v>
      </c>
      <c r="BC53" s="14">
        <v>0</v>
      </c>
      <c r="BD53" s="14">
        <v>0</v>
      </c>
      <c r="BE53" s="33"/>
      <c r="BF53" s="34"/>
      <c r="BG53" s="34"/>
      <c r="BH53" s="34"/>
      <c r="BI53" s="34"/>
      <c r="BJ53" s="34"/>
      <c r="BK53" s="34"/>
      <c r="BL53" s="35"/>
      <c r="BO53" s="14">
        <v>0</v>
      </c>
      <c r="BP53" s="14">
        <v>0</v>
      </c>
      <c r="BQ53" s="14">
        <v>1</v>
      </c>
      <c r="BR53" s="14">
        <v>0</v>
      </c>
      <c r="BS53" s="14">
        <v>0</v>
      </c>
      <c r="BT53" s="14">
        <v>1</v>
      </c>
      <c r="BU53" s="14">
        <v>0</v>
      </c>
      <c r="BV53" s="14">
        <v>0</v>
      </c>
      <c r="BW53" s="33"/>
      <c r="BX53" s="34"/>
      <c r="BY53" s="34"/>
      <c r="BZ53" s="34"/>
      <c r="CA53" s="34"/>
      <c r="CB53" s="34"/>
      <c r="CC53" s="34"/>
      <c r="CD53" s="35"/>
      <c r="CE53" s="5">
        <v>0</v>
      </c>
      <c r="CF53" s="2">
        <v>0</v>
      </c>
      <c r="CG53" s="5">
        <v>1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33"/>
      <c r="CN53" s="34"/>
      <c r="CO53" s="34"/>
      <c r="CP53" s="34"/>
      <c r="CQ53" s="34"/>
      <c r="CR53" s="34"/>
      <c r="CS53" s="34"/>
      <c r="CT53" s="35"/>
    </row>
    <row r="54" spans="1:98" x14ac:dyDescent="0.25">
      <c r="A54" s="14">
        <v>0</v>
      </c>
      <c r="B54" s="14">
        <v>0</v>
      </c>
      <c r="C54" s="14">
        <v>0</v>
      </c>
      <c r="D54" s="14">
        <v>1</v>
      </c>
      <c r="E54" s="14">
        <v>0</v>
      </c>
      <c r="F54" s="14">
        <v>0</v>
      </c>
      <c r="G54" s="14">
        <v>0</v>
      </c>
      <c r="H54" s="14">
        <v>0</v>
      </c>
      <c r="I54" s="40" t="s">
        <v>48</v>
      </c>
      <c r="J54" s="41"/>
      <c r="K54" s="41"/>
      <c r="L54" s="41"/>
      <c r="M54" s="44">
        <v>209</v>
      </c>
      <c r="N54" s="44"/>
      <c r="O54" s="44">
        <v>130</v>
      </c>
      <c r="P54" s="45"/>
      <c r="Q54" s="14">
        <v>0</v>
      </c>
      <c r="R54" s="14">
        <v>0</v>
      </c>
      <c r="S54" s="14">
        <v>1</v>
      </c>
      <c r="T54" s="14">
        <v>1</v>
      </c>
      <c r="U54" s="14">
        <v>1</v>
      </c>
      <c r="V54" s="14">
        <v>0</v>
      </c>
      <c r="W54" s="14">
        <v>0</v>
      </c>
      <c r="X54" s="14">
        <v>0</v>
      </c>
      <c r="Y54" s="40" t="s">
        <v>48</v>
      </c>
      <c r="Z54" s="41"/>
      <c r="AA54" s="41"/>
      <c r="AB54" s="41"/>
      <c r="AC54" s="44">
        <v>209</v>
      </c>
      <c r="AD54" s="44"/>
      <c r="AE54" s="44">
        <v>131</v>
      </c>
      <c r="AF54" s="45"/>
      <c r="AG54" s="14">
        <v>0</v>
      </c>
      <c r="AH54" s="14">
        <v>0</v>
      </c>
      <c r="AI54" s="14">
        <v>0</v>
      </c>
      <c r="AJ54" s="14">
        <v>1</v>
      </c>
      <c r="AK54" s="14">
        <v>0</v>
      </c>
      <c r="AL54" s="14">
        <v>0</v>
      </c>
      <c r="AM54" s="14">
        <v>0</v>
      </c>
      <c r="AN54" s="14">
        <v>0</v>
      </c>
      <c r="AO54" s="40" t="s">
        <v>48</v>
      </c>
      <c r="AP54" s="41"/>
      <c r="AQ54" s="41"/>
      <c r="AR54" s="41"/>
      <c r="AS54" s="44">
        <v>209</v>
      </c>
      <c r="AT54" s="44"/>
      <c r="AU54" s="44">
        <v>132</v>
      </c>
      <c r="AV54" s="45"/>
      <c r="AW54" s="14">
        <v>0</v>
      </c>
      <c r="AX54" s="14">
        <v>1</v>
      </c>
      <c r="AY54" s="14">
        <v>0</v>
      </c>
      <c r="AZ54" s="14">
        <v>0</v>
      </c>
      <c r="BA54" s="14">
        <v>0</v>
      </c>
      <c r="BB54" s="14">
        <v>1</v>
      </c>
      <c r="BC54" s="14">
        <v>0</v>
      </c>
      <c r="BD54" s="14">
        <v>0</v>
      </c>
      <c r="BE54" s="40" t="s">
        <v>48</v>
      </c>
      <c r="BF54" s="41"/>
      <c r="BG54" s="41"/>
      <c r="BH54" s="41"/>
      <c r="BI54" s="44">
        <v>209</v>
      </c>
      <c r="BJ54" s="44"/>
      <c r="BK54" s="44">
        <v>133</v>
      </c>
      <c r="BL54" s="45"/>
      <c r="BO54" s="14">
        <v>0</v>
      </c>
      <c r="BP54" s="14">
        <v>0</v>
      </c>
      <c r="BQ54" s="14">
        <v>1</v>
      </c>
      <c r="BR54" s="14">
        <v>0</v>
      </c>
      <c r="BS54" s="14">
        <v>0</v>
      </c>
      <c r="BT54" s="14">
        <v>1</v>
      </c>
      <c r="BU54" s="14">
        <v>0</v>
      </c>
      <c r="BV54" s="14">
        <v>0</v>
      </c>
      <c r="BW54" s="40" t="s">
        <v>48</v>
      </c>
      <c r="BX54" s="41"/>
      <c r="BY54" s="41"/>
      <c r="BZ54" s="41"/>
      <c r="CA54" s="44">
        <v>0</v>
      </c>
      <c r="CB54" s="44"/>
      <c r="CC54" s="44">
        <v>107</v>
      </c>
      <c r="CD54" s="45"/>
      <c r="CE54" s="5">
        <v>0</v>
      </c>
      <c r="CF54" s="2">
        <v>0</v>
      </c>
      <c r="CG54" s="5">
        <v>1</v>
      </c>
      <c r="CH54" s="5">
        <v>1</v>
      </c>
      <c r="CI54" s="2">
        <v>1</v>
      </c>
      <c r="CJ54" s="2">
        <v>1</v>
      </c>
      <c r="CK54" s="2">
        <v>0</v>
      </c>
      <c r="CL54" s="2">
        <v>0</v>
      </c>
      <c r="CM54" s="40" t="s">
        <v>48</v>
      </c>
      <c r="CN54" s="41"/>
      <c r="CO54" s="41"/>
      <c r="CP54" s="41"/>
      <c r="CQ54" s="44">
        <v>0</v>
      </c>
      <c r="CR54" s="44"/>
      <c r="CS54" s="44">
        <v>108</v>
      </c>
      <c r="CT54" s="45"/>
    </row>
    <row r="55" spans="1:98" x14ac:dyDescent="0.25">
      <c r="A55" s="15">
        <v>0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2"/>
      <c r="J55" s="12"/>
      <c r="K55" s="12"/>
      <c r="L55" s="12"/>
      <c r="M55" s="12"/>
      <c r="N55" s="12"/>
      <c r="O55" s="12"/>
      <c r="P55" s="12"/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2"/>
      <c r="Z55" s="12"/>
      <c r="AA55" s="12"/>
      <c r="AB55" s="12"/>
      <c r="AC55" s="12"/>
      <c r="AD55" s="12"/>
      <c r="AE55" s="12"/>
      <c r="AF55" s="13"/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2"/>
      <c r="AP55" s="12"/>
      <c r="AQ55" s="12"/>
      <c r="AR55" s="12"/>
      <c r="AS55" s="12"/>
      <c r="AT55" s="12"/>
      <c r="AU55" s="12"/>
      <c r="AV55" s="13"/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2"/>
      <c r="BF55" s="12"/>
      <c r="BG55" s="12"/>
      <c r="BH55" s="12"/>
      <c r="BI55" s="12"/>
      <c r="BJ55" s="12"/>
      <c r="BK55" s="12"/>
      <c r="BL55" s="12"/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2"/>
      <c r="BX55" s="12"/>
      <c r="BY55" s="12"/>
      <c r="BZ55" s="12"/>
      <c r="CA55" s="12"/>
      <c r="CB55" s="12"/>
      <c r="CC55" s="12"/>
      <c r="CD55" s="12"/>
      <c r="CE55" s="1">
        <v>0</v>
      </c>
      <c r="CF55" s="2">
        <v>0</v>
      </c>
      <c r="CG55" s="2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4"/>
      <c r="CN55" s="4"/>
      <c r="CO55" s="4"/>
      <c r="CP55" s="4"/>
      <c r="CQ55" s="4"/>
      <c r="CR55" s="4"/>
      <c r="CS55" s="4"/>
      <c r="CT55" s="3"/>
    </row>
    <row r="56" spans="1:98" s="5" customFormat="1" x14ac:dyDescent="0.25">
      <c r="A56" s="10">
        <v>1</v>
      </c>
      <c r="B56" s="10">
        <v>2</v>
      </c>
      <c r="C56" s="10">
        <v>3</v>
      </c>
      <c r="D56" s="10">
        <v>4</v>
      </c>
      <c r="E56" s="10">
        <v>5</v>
      </c>
      <c r="F56" s="10">
        <v>6</v>
      </c>
      <c r="G56" s="10">
        <v>7</v>
      </c>
      <c r="H56" s="10">
        <v>8</v>
      </c>
      <c r="I56" s="38" t="s">
        <v>0</v>
      </c>
      <c r="J56" s="38"/>
      <c r="K56" s="38"/>
      <c r="L56" s="38"/>
      <c r="M56" s="39">
        <v>208</v>
      </c>
      <c r="N56" s="39"/>
      <c r="O56" s="39">
        <v>166</v>
      </c>
      <c r="P56" s="39"/>
      <c r="Q56" s="10">
        <v>1</v>
      </c>
      <c r="R56" s="10">
        <v>2</v>
      </c>
      <c r="S56" s="10">
        <v>3</v>
      </c>
      <c r="T56" s="10">
        <v>4</v>
      </c>
      <c r="U56" s="10">
        <v>5</v>
      </c>
      <c r="V56" s="10">
        <v>6</v>
      </c>
      <c r="W56" s="10">
        <v>7</v>
      </c>
      <c r="X56" s="10">
        <v>8</v>
      </c>
      <c r="Y56" s="38" t="s">
        <v>0</v>
      </c>
      <c r="Z56" s="38"/>
      <c r="AA56" s="38"/>
      <c r="AB56" s="38"/>
      <c r="AC56" s="39">
        <v>208</v>
      </c>
      <c r="AD56" s="39"/>
      <c r="AE56" s="39">
        <v>167</v>
      </c>
      <c r="AF56" s="39"/>
      <c r="AG56" s="10">
        <v>1</v>
      </c>
      <c r="AH56" s="10">
        <v>2</v>
      </c>
      <c r="AI56" s="10">
        <v>3</v>
      </c>
      <c r="AJ56" s="10">
        <v>4</v>
      </c>
      <c r="AK56" s="10">
        <v>5</v>
      </c>
      <c r="AL56" s="10">
        <v>6</v>
      </c>
      <c r="AM56" s="10">
        <v>7</v>
      </c>
      <c r="AN56" s="10">
        <v>8</v>
      </c>
      <c r="AO56" s="38" t="s">
        <v>0</v>
      </c>
      <c r="AP56" s="38"/>
      <c r="AQ56" s="38"/>
      <c r="AR56" s="38"/>
      <c r="AS56" s="39">
        <v>208</v>
      </c>
      <c r="AT56" s="39"/>
      <c r="AU56" s="39">
        <v>168</v>
      </c>
      <c r="AV56" s="39"/>
      <c r="AW56" s="10">
        <v>1</v>
      </c>
      <c r="AX56" s="10">
        <v>2</v>
      </c>
      <c r="AY56" s="10">
        <v>3</v>
      </c>
      <c r="AZ56" s="10">
        <v>4</v>
      </c>
      <c r="BA56" s="10">
        <v>5</v>
      </c>
      <c r="BB56" s="10">
        <v>6</v>
      </c>
      <c r="BC56" s="10">
        <v>7</v>
      </c>
      <c r="BD56" s="10">
        <v>8</v>
      </c>
      <c r="BE56" s="38" t="s">
        <v>0</v>
      </c>
      <c r="BF56" s="38"/>
      <c r="BG56" s="38"/>
      <c r="BH56" s="38"/>
      <c r="BI56" s="39">
        <v>208</v>
      </c>
      <c r="BJ56" s="39"/>
      <c r="BK56" s="39">
        <v>169</v>
      </c>
      <c r="BL56" s="39"/>
      <c r="BM56" s="20"/>
      <c r="BN56" s="20"/>
      <c r="BO56" s="10">
        <v>1</v>
      </c>
      <c r="BP56" s="10">
        <v>2</v>
      </c>
      <c r="BQ56" s="10">
        <v>3</v>
      </c>
      <c r="BR56" s="10">
        <v>4</v>
      </c>
      <c r="BS56" s="10">
        <v>5</v>
      </c>
      <c r="BT56" s="10">
        <v>6</v>
      </c>
      <c r="BU56" s="10">
        <v>7</v>
      </c>
      <c r="BV56" s="10">
        <v>8</v>
      </c>
      <c r="BW56" s="38" t="s">
        <v>0</v>
      </c>
      <c r="BX56" s="38"/>
      <c r="BY56" s="38"/>
      <c r="BZ56" s="38"/>
      <c r="CA56" s="39">
        <v>0</v>
      </c>
      <c r="CB56" s="39"/>
      <c r="CC56" s="39">
        <v>77</v>
      </c>
      <c r="CD56" s="39"/>
      <c r="CE56" s="10">
        <v>1</v>
      </c>
      <c r="CF56" s="10">
        <v>2</v>
      </c>
      <c r="CG56" s="10">
        <v>3</v>
      </c>
      <c r="CH56" s="10">
        <v>4</v>
      </c>
      <c r="CI56" s="10">
        <v>5</v>
      </c>
      <c r="CJ56" s="10">
        <v>6</v>
      </c>
      <c r="CK56" s="10">
        <v>7</v>
      </c>
      <c r="CL56" s="10">
        <v>8</v>
      </c>
      <c r="CM56" s="38" t="s">
        <v>0</v>
      </c>
      <c r="CN56" s="38"/>
      <c r="CO56" s="38"/>
      <c r="CP56" s="38"/>
      <c r="CQ56" s="39">
        <v>0</v>
      </c>
      <c r="CR56" s="39"/>
      <c r="CS56" s="39">
        <v>78</v>
      </c>
      <c r="CT56" s="39"/>
    </row>
    <row r="57" spans="1:98" x14ac:dyDescent="0.25">
      <c r="A57" s="11">
        <v>0</v>
      </c>
      <c r="B57" s="11">
        <v>1</v>
      </c>
      <c r="C57" s="11">
        <v>0</v>
      </c>
      <c r="D57" s="11">
        <v>0</v>
      </c>
      <c r="E57" s="11">
        <v>1</v>
      </c>
      <c r="F57" s="11">
        <v>0</v>
      </c>
      <c r="G57" s="11">
        <v>0</v>
      </c>
      <c r="H57" s="11">
        <v>0</v>
      </c>
      <c r="I57" s="12" t="str">
        <f>BIN2HEX(A64&amp;A63&amp;A62&amp;A61&amp;A60&amp;A59&amp;A58&amp;A57)</f>
        <v>0</v>
      </c>
      <c r="J57" s="12" t="str">
        <f t="shared" ref="J57" si="203">BIN2HEX(B64&amp;B63&amp;B62&amp;B61&amp;B60&amp;B59&amp;B58&amp;B57)</f>
        <v>7F</v>
      </c>
      <c r="K57" s="12" t="str">
        <f t="shared" ref="K57" si="204">BIN2HEX(C64&amp;C63&amp;C62&amp;C61&amp;C60&amp;C59&amp;C58&amp;C57)</f>
        <v>40</v>
      </c>
      <c r="L57" s="12" t="str">
        <f t="shared" ref="L57" si="205">BIN2HEX(D64&amp;D63&amp;D62&amp;D61&amp;D60&amp;D59&amp;D58&amp;D57)</f>
        <v>40</v>
      </c>
      <c r="M57" s="12" t="str">
        <f t="shared" ref="M57" si="206">BIN2HEX(E64&amp;E63&amp;E62&amp;E61&amp;E60&amp;E59&amp;E58&amp;E57)</f>
        <v>7F</v>
      </c>
      <c r="N57" s="12" t="str">
        <f t="shared" ref="N57" si="207">BIN2HEX(F64&amp;F63&amp;F62&amp;F61&amp;F60&amp;F59&amp;F58&amp;F57)</f>
        <v>C0</v>
      </c>
      <c r="O57" s="12" t="str">
        <f t="shared" ref="O57" si="208">BIN2HEX(G64&amp;G63&amp;G62&amp;G61&amp;G60&amp;G59&amp;G58&amp;G57)</f>
        <v>0</v>
      </c>
      <c r="P57" s="13" t="str">
        <f>BIN2HEX(H64&amp;H63&amp;H62&amp;H61&amp;H60&amp;H59&amp;H58&amp;H57)</f>
        <v>0</v>
      </c>
      <c r="Q57" s="11">
        <v>0</v>
      </c>
      <c r="R57" s="11">
        <v>0</v>
      </c>
      <c r="S57" s="11">
        <v>1</v>
      </c>
      <c r="T57" s="11">
        <v>0</v>
      </c>
      <c r="U57" s="11">
        <v>0</v>
      </c>
      <c r="V57" s="11">
        <v>1</v>
      </c>
      <c r="W57" s="11">
        <v>0</v>
      </c>
      <c r="X57" s="11">
        <v>0</v>
      </c>
      <c r="Y57" s="12" t="str">
        <f>BIN2HEX(Q64&amp;Q63&amp;Q62&amp;Q61&amp;Q60&amp;Q59&amp;Q58&amp;Q57)</f>
        <v>0</v>
      </c>
      <c r="Z57" s="12" t="str">
        <f t="shared" ref="Z57" si="209">BIN2HEX(R64&amp;R63&amp;R62&amp;R61&amp;R60&amp;R59&amp;R58&amp;R57)</f>
        <v>0</v>
      </c>
      <c r="AA57" s="12" t="str">
        <f>BIN2HEX(S64&amp;S63&amp;S62&amp;S61&amp;S60&amp;S59&amp;S58&amp;S57)</f>
        <v>1F</v>
      </c>
      <c r="AB57" s="12" t="str">
        <f t="shared" ref="AB57" si="210">BIN2HEX(T64&amp;T63&amp;T62&amp;T61&amp;T60&amp;T59&amp;T58&amp;T57)</f>
        <v>10</v>
      </c>
      <c r="AC57" s="12" t="str">
        <f t="shared" ref="AC57" si="211">BIN2HEX(U64&amp;U63&amp;U62&amp;U61&amp;U60&amp;U59&amp;U58&amp;U57)</f>
        <v>10</v>
      </c>
      <c r="AD57" s="12" t="str">
        <f t="shared" ref="AD57" si="212">BIN2HEX(V64&amp;V63&amp;V62&amp;V61&amp;V60&amp;V59&amp;V58&amp;V57)</f>
        <v>7F</v>
      </c>
      <c r="AE57" s="12" t="str">
        <f t="shared" ref="AE57" si="213">BIN2HEX(W64&amp;W63&amp;W62&amp;W61&amp;W60&amp;W59&amp;W58&amp;W57)</f>
        <v>0</v>
      </c>
      <c r="AF57" s="13" t="str">
        <f>BIN2HEX(X64&amp;X63&amp;X62&amp;X61&amp;X60&amp;X59&amp;X58&amp;X57)</f>
        <v>0</v>
      </c>
      <c r="AG57" s="11">
        <v>0</v>
      </c>
      <c r="AH57" s="11">
        <v>1</v>
      </c>
      <c r="AI57" s="11">
        <v>0</v>
      </c>
      <c r="AJ57" s="11">
        <v>1</v>
      </c>
      <c r="AK57" s="11">
        <v>0</v>
      </c>
      <c r="AL57" s="11">
        <v>1</v>
      </c>
      <c r="AM57" s="11">
        <v>0</v>
      </c>
      <c r="AN57" s="11">
        <v>0</v>
      </c>
      <c r="AO57" s="12" t="str">
        <f>BIN2HEX(AG64&amp;AG63&amp;AG62&amp;AG61&amp;AG60&amp;AG59&amp;AG58&amp;AG57)</f>
        <v>0</v>
      </c>
      <c r="AP57" s="12" t="str">
        <f t="shared" ref="AP57" si="214">BIN2HEX(AH64&amp;AH63&amp;AH62&amp;AH61&amp;AH60&amp;AH59&amp;AH58&amp;AH57)</f>
        <v>7F</v>
      </c>
      <c r="AQ57" s="12" t="str">
        <f t="shared" ref="AQ57" si="215">BIN2HEX(AI64&amp;AI63&amp;AI62&amp;AI61&amp;AI60&amp;AI59&amp;AI58&amp;AI57)</f>
        <v>40</v>
      </c>
      <c r="AR57" s="12" t="str">
        <f t="shared" ref="AR57" si="216">BIN2HEX(AJ64&amp;AJ63&amp;AJ62&amp;AJ61&amp;AJ60&amp;AJ59&amp;AJ58&amp;AJ57)</f>
        <v>7F</v>
      </c>
      <c r="AS57" s="12" t="str">
        <f t="shared" ref="AS57" si="217">BIN2HEX(AK64&amp;AK63&amp;AK62&amp;AK61&amp;AK60&amp;AK59&amp;AK58&amp;AK57)</f>
        <v>40</v>
      </c>
      <c r="AT57" s="12" t="str">
        <f t="shared" ref="AT57" si="218">BIN2HEX(AL64&amp;AL63&amp;AL62&amp;AL61&amp;AL60&amp;AL59&amp;AL58&amp;AL57)</f>
        <v>7F</v>
      </c>
      <c r="AU57" s="12" t="str">
        <f t="shared" ref="AU57" si="219">BIN2HEX(AM64&amp;AM63&amp;AM62&amp;AM61&amp;AM60&amp;AM59&amp;AM58&amp;AM57)</f>
        <v>0</v>
      </c>
      <c r="AV57" s="13" t="str">
        <f>BIN2HEX(AN64&amp;AN63&amp;AN62&amp;AN61&amp;AN60&amp;AN59&amp;AN58&amp;AN57)</f>
        <v>0</v>
      </c>
      <c r="AW57" s="11">
        <v>0</v>
      </c>
      <c r="AX57" s="11">
        <v>1</v>
      </c>
      <c r="AY57" s="11">
        <v>0</v>
      </c>
      <c r="AZ57" s="11">
        <v>1</v>
      </c>
      <c r="BA57" s="11">
        <v>0</v>
      </c>
      <c r="BB57" s="11">
        <v>1</v>
      </c>
      <c r="BC57" s="11">
        <v>0</v>
      </c>
      <c r="BD57" s="11">
        <v>0</v>
      </c>
      <c r="BE57" s="12" t="str">
        <f>BIN2HEX(AW64&amp;AW63&amp;AW62&amp;AW61&amp;AW60&amp;AW59&amp;AW58&amp;AW57)</f>
        <v>0</v>
      </c>
      <c r="BF57" s="12" t="str">
        <f t="shared" ref="BF57" si="220">BIN2HEX(AX64&amp;AX63&amp;AX62&amp;AX61&amp;AX60&amp;AX59&amp;AX58&amp;AX57)</f>
        <v>7F</v>
      </c>
      <c r="BG57" s="12" t="str">
        <f t="shared" ref="BG57" si="221">BIN2HEX(AY64&amp;AY63&amp;AY62&amp;AY61&amp;AY60&amp;AY59&amp;AY58&amp;AY57)</f>
        <v>40</v>
      </c>
      <c r="BH57" s="12" t="str">
        <f t="shared" ref="BH57" si="222">BIN2HEX(AZ64&amp;AZ63&amp;AZ62&amp;AZ61&amp;AZ60&amp;AZ59&amp;AZ58&amp;AZ57)</f>
        <v>7F</v>
      </c>
      <c r="BI57" s="12" t="str">
        <f t="shared" ref="BI57" si="223">BIN2HEX(BA64&amp;BA63&amp;BA62&amp;BA61&amp;BA60&amp;BA59&amp;BA58&amp;BA57)</f>
        <v>40</v>
      </c>
      <c r="BJ57" s="12" t="str">
        <f t="shared" ref="BJ57" si="224">BIN2HEX(BB64&amp;BB63&amp;BB62&amp;BB61&amp;BB60&amp;BB59&amp;BB58&amp;BB57)</f>
        <v>7F</v>
      </c>
      <c r="BK57" s="12" t="str">
        <f t="shared" ref="BK57" si="225">BIN2HEX(BC64&amp;BC63&amp;BC62&amp;BC61&amp;BC60&amp;BC59&amp;BC58&amp;BC57)</f>
        <v>C0</v>
      </c>
      <c r="BL57" s="12" t="str">
        <f>BIN2HEX(BD64&amp;BD63&amp;BD62&amp;BD61&amp;BD60&amp;BD59&amp;BD58&amp;BD57)</f>
        <v>0</v>
      </c>
      <c r="BO57" s="11">
        <v>0</v>
      </c>
      <c r="BP57" s="11">
        <v>1</v>
      </c>
      <c r="BQ57" s="11">
        <v>0</v>
      </c>
      <c r="BR57" s="11">
        <v>0</v>
      </c>
      <c r="BS57" s="11">
        <v>0</v>
      </c>
      <c r="BT57" s="11">
        <v>1</v>
      </c>
      <c r="BU57" s="11">
        <v>0</v>
      </c>
      <c r="BV57" s="11">
        <v>0</v>
      </c>
      <c r="BW57" s="12" t="str">
        <f>BIN2HEX(BO64&amp;BO63&amp;BO62&amp;BO61&amp;BO60&amp;BO59&amp;BO58&amp;BO57)</f>
        <v>0</v>
      </c>
      <c r="BX57" s="12" t="str">
        <f t="shared" ref="BX57" si="226">BIN2HEX(BP64&amp;BP63&amp;BP62&amp;BP61&amp;BP60&amp;BP59&amp;BP58&amp;BP57)</f>
        <v>7F</v>
      </c>
      <c r="BY57" s="12" t="str">
        <f t="shared" ref="BY57" si="227">BIN2HEX(BQ64&amp;BQ63&amp;BQ62&amp;BQ61&amp;BQ60&amp;BQ59&amp;BQ58&amp;BQ57)</f>
        <v>C</v>
      </c>
      <c r="BZ57" s="12" t="str">
        <f t="shared" ref="BZ57" si="228">BIN2HEX(BR64&amp;BR63&amp;BR62&amp;BR61&amp;BR60&amp;BR59&amp;BR58&amp;BR57)</f>
        <v>30</v>
      </c>
      <c r="CA57" s="12" t="str">
        <f t="shared" ref="CA57" si="229">BIN2HEX(BS64&amp;BS63&amp;BS62&amp;BS61&amp;BS60&amp;BS59&amp;BS58&amp;BS57)</f>
        <v>C</v>
      </c>
      <c r="CB57" s="12" t="str">
        <f t="shared" ref="CB57" si="230">BIN2HEX(BT64&amp;BT63&amp;BT62&amp;BT61&amp;BT60&amp;BT59&amp;BT58&amp;BT57)</f>
        <v>7F</v>
      </c>
      <c r="CC57" s="12" t="str">
        <f t="shared" ref="CC57" si="231">BIN2HEX(BU64&amp;BU63&amp;BU62&amp;BU61&amp;BU60&amp;BU59&amp;BU58&amp;BU57)</f>
        <v>0</v>
      </c>
      <c r="CD57" s="12" t="str">
        <f>BIN2HEX(BV64&amp;BV63&amp;BV62&amp;BV61&amp;BV60&amp;BV59&amp;BV58&amp;BV57)</f>
        <v>0</v>
      </c>
      <c r="CE57" s="11">
        <v>0</v>
      </c>
      <c r="CF57" s="11">
        <v>1</v>
      </c>
      <c r="CG57" s="11">
        <v>0</v>
      </c>
      <c r="CH57" s="11">
        <v>0</v>
      </c>
      <c r="CI57" s="11">
        <v>0</v>
      </c>
      <c r="CJ57" s="11">
        <v>1</v>
      </c>
      <c r="CK57" s="11">
        <v>0</v>
      </c>
      <c r="CL57" s="11">
        <v>0</v>
      </c>
      <c r="CM57" s="12" t="str">
        <f>BIN2HEX(CE64&amp;CE63&amp;CE62&amp;CE61&amp;CE60&amp;CE59&amp;CE58&amp;CE57)</f>
        <v>0</v>
      </c>
      <c r="CN57" s="12" t="str">
        <f t="shared" ref="CN57" si="232">BIN2HEX(CF64&amp;CF63&amp;CF62&amp;CF61&amp;CF60&amp;CF59&amp;CF58&amp;CF57)</f>
        <v>7F</v>
      </c>
      <c r="CO57" s="12" t="str">
        <f t="shared" ref="CO57" si="233">BIN2HEX(CG64&amp;CG63&amp;CG62&amp;CG61&amp;CG60&amp;CG59&amp;CG58&amp;CG57)</f>
        <v>4</v>
      </c>
      <c r="CP57" s="12" t="str">
        <f t="shared" ref="CP57" si="234">BIN2HEX(CH64&amp;CH63&amp;CH62&amp;CH61&amp;CH60&amp;CH59&amp;CH58&amp;CH57)</f>
        <v>8</v>
      </c>
      <c r="CQ57" s="12" t="str">
        <f t="shared" ref="CQ57" si="235">BIN2HEX(CI64&amp;CI63&amp;CI62&amp;CI61&amp;CI60&amp;CI59&amp;CI58&amp;CI57)</f>
        <v>10</v>
      </c>
      <c r="CR57" s="12" t="str">
        <f>BIN2HEX(CJ64&amp;CJ63&amp;CJ62&amp;CJ61&amp;CJ60&amp;CJ59&amp;CJ58&amp;CJ57)</f>
        <v>7F</v>
      </c>
      <c r="CS57" s="12" t="str">
        <f>BIN2HEX(CK64&amp;CK63&amp;CK62&amp;CK61&amp;CK60&amp;CK59&amp;CK58&amp;CK57)</f>
        <v>0</v>
      </c>
      <c r="CT57" s="12" t="str">
        <f>BIN2HEX(CL64&amp;CL63&amp;CL62&amp;CL61&amp;CL60&amp;CL59&amp;CL58&amp;CL57)</f>
        <v>0</v>
      </c>
    </row>
    <row r="58" spans="1:98" ht="15" customHeight="1" x14ac:dyDescent="0.25">
      <c r="A58" s="14">
        <v>0</v>
      </c>
      <c r="B58" s="14">
        <v>1</v>
      </c>
      <c r="C58" s="14">
        <v>0</v>
      </c>
      <c r="D58" s="11">
        <v>0</v>
      </c>
      <c r="E58" s="14">
        <v>1</v>
      </c>
      <c r="F58" s="14">
        <v>0</v>
      </c>
      <c r="G58" s="11">
        <v>0</v>
      </c>
      <c r="H58" s="14">
        <v>0</v>
      </c>
      <c r="I58" s="36" t="str">
        <f>"0x"&amp;I57&amp;", 0x"&amp;J57&amp;", 0x"&amp;K57&amp;", 0x"&amp;L57&amp;", 0x"&amp;M57&amp;", 0x"&amp;N57&amp;", 0x"&amp;O57&amp;", 0x"&amp;P57</f>
        <v>0x0, 0x7F, 0x40, 0x40, 0x7F, 0xC0, 0x0, 0x0</v>
      </c>
      <c r="J58" s="34"/>
      <c r="K58" s="34"/>
      <c r="L58" s="34"/>
      <c r="M58" s="34"/>
      <c r="N58" s="34"/>
      <c r="O58" s="34"/>
      <c r="P58" s="37"/>
      <c r="Q58" s="14">
        <v>0</v>
      </c>
      <c r="R58" s="11">
        <v>0</v>
      </c>
      <c r="S58" s="14">
        <v>1</v>
      </c>
      <c r="T58" s="14">
        <v>0</v>
      </c>
      <c r="U58" s="11">
        <v>0</v>
      </c>
      <c r="V58" s="11">
        <v>1</v>
      </c>
      <c r="W58" s="14">
        <v>0</v>
      </c>
      <c r="X58" s="14">
        <v>0</v>
      </c>
      <c r="Y58" s="36" t="str">
        <f>"0x"&amp;Y57&amp;", 0x"&amp;Z57&amp;", 0x"&amp;AA57&amp;", 0x"&amp;AB57&amp;", 0x"&amp;AC57&amp;", 0x"&amp;AD57&amp;", 0x"&amp;AE57&amp;", 0x"&amp;AF57</f>
        <v>0x0, 0x0, 0x1F, 0x10, 0x10, 0x7F, 0x0, 0x0</v>
      </c>
      <c r="Z58" s="34"/>
      <c r="AA58" s="34"/>
      <c r="AB58" s="34"/>
      <c r="AC58" s="34"/>
      <c r="AD58" s="34"/>
      <c r="AE58" s="34"/>
      <c r="AF58" s="37"/>
      <c r="AG58" s="14">
        <v>0</v>
      </c>
      <c r="AH58" s="14">
        <v>1</v>
      </c>
      <c r="AI58" s="14">
        <v>0</v>
      </c>
      <c r="AJ58" s="14">
        <v>1</v>
      </c>
      <c r="AK58" s="14">
        <v>0</v>
      </c>
      <c r="AL58" s="14">
        <v>1</v>
      </c>
      <c r="AM58" s="14">
        <v>0</v>
      </c>
      <c r="AN58" s="14">
        <v>0</v>
      </c>
      <c r="AO58" s="36" t="str">
        <f>"0x"&amp;AO57&amp;", 0x"&amp;AP57&amp;", 0x"&amp;AQ57&amp;", 0x"&amp;AR57&amp;", 0x"&amp;AS57&amp;", 0x"&amp;AT57&amp;", 0x"&amp;AU57&amp;", 0x"&amp;AV57</f>
        <v>0x0, 0x7F, 0x40, 0x7F, 0x40, 0x7F, 0x0, 0x0</v>
      </c>
      <c r="AP58" s="34"/>
      <c r="AQ58" s="34"/>
      <c r="AR58" s="34"/>
      <c r="AS58" s="34"/>
      <c r="AT58" s="34"/>
      <c r="AU58" s="34"/>
      <c r="AV58" s="37"/>
      <c r="AW58" s="14">
        <v>0</v>
      </c>
      <c r="AX58" s="14">
        <v>1</v>
      </c>
      <c r="AY58" s="14">
        <v>0</v>
      </c>
      <c r="AZ58" s="14">
        <v>1</v>
      </c>
      <c r="BA58" s="14">
        <v>0</v>
      </c>
      <c r="BB58" s="14">
        <v>1</v>
      </c>
      <c r="BC58" s="14">
        <v>0</v>
      </c>
      <c r="BD58" s="14">
        <v>0</v>
      </c>
      <c r="BE58" s="36" t="str">
        <f>"0x"&amp;BE57&amp;", 0x"&amp;BF57&amp;", 0x"&amp;BG57&amp;", 0x"&amp;BH57&amp;", 0x"&amp;BI57&amp;", 0x"&amp;BJ57&amp;", 0x"&amp;BK57&amp;", 0x"&amp;BL57</f>
        <v>0x0, 0x7F, 0x40, 0x7F, 0x40, 0x7F, 0xC0, 0x0</v>
      </c>
      <c r="BF58" s="34"/>
      <c r="BG58" s="34"/>
      <c r="BH58" s="34"/>
      <c r="BI58" s="34"/>
      <c r="BJ58" s="34"/>
      <c r="BK58" s="34"/>
      <c r="BL58" s="37"/>
      <c r="BO58" s="14">
        <v>0</v>
      </c>
      <c r="BP58" s="14">
        <v>1</v>
      </c>
      <c r="BQ58" s="14">
        <v>0</v>
      </c>
      <c r="BR58" s="14">
        <v>0</v>
      </c>
      <c r="BS58" s="14">
        <v>0</v>
      </c>
      <c r="BT58" s="14">
        <v>1</v>
      </c>
      <c r="BU58" s="14">
        <v>0</v>
      </c>
      <c r="BV58" s="14">
        <v>0</v>
      </c>
      <c r="BW58" s="36" t="str">
        <f>"0x"&amp;BW57&amp;", 0x"&amp;BX57&amp;", 0x"&amp;BY57&amp;", 0x"&amp;BZ57&amp;", 0x"&amp;CA57&amp;", 0x"&amp;CB57&amp;", 0x"&amp;CC57&amp;", 0x"&amp;CD57</f>
        <v>0x0, 0x7F, 0xC, 0x30, 0xC, 0x7F, 0x0, 0x0</v>
      </c>
      <c r="BX58" s="34"/>
      <c r="BY58" s="34"/>
      <c r="BZ58" s="34"/>
      <c r="CA58" s="34"/>
      <c r="CB58" s="34"/>
      <c r="CC58" s="34"/>
      <c r="CD58" s="34"/>
      <c r="CE58" s="14">
        <v>0</v>
      </c>
      <c r="CF58" s="14">
        <v>1</v>
      </c>
      <c r="CG58" s="14">
        <v>0</v>
      </c>
      <c r="CH58" s="14">
        <v>0</v>
      </c>
      <c r="CI58" s="14">
        <v>0</v>
      </c>
      <c r="CJ58" s="14">
        <v>1</v>
      </c>
      <c r="CK58" s="14">
        <v>0</v>
      </c>
      <c r="CL58" s="14">
        <v>0</v>
      </c>
      <c r="CM58" s="36" t="str">
        <f>"0x"&amp;CM57&amp;", 0x"&amp;CN57&amp;", 0x"&amp;CO57&amp;", 0x"&amp;CP57&amp;", 0x"&amp;CQ57&amp;", 0x"&amp;CR57&amp;", 0x"&amp;CS57&amp;", 0x"&amp;CT57</f>
        <v>0x0, 0x7F, 0x4, 0x8, 0x10, 0x7F, 0x0, 0x0</v>
      </c>
      <c r="CN58" s="34"/>
      <c r="CO58" s="34"/>
      <c r="CP58" s="34"/>
      <c r="CQ58" s="34"/>
      <c r="CR58" s="34"/>
      <c r="CS58" s="34"/>
      <c r="CT58" s="37"/>
    </row>
    <row r="59" spans="1:98" x14ac:dyDescent="0.25">
      <c r="A59" s="14">
        <v>0</v>
      </c>
      <c r="B59" s="14">
        <v>1</v>
      </c>
      <c r="C59" s="14">
        <v>0</v>
      </c>
      <c r="D59" s="11">
        <v>0</v>
      </c>
      <c r="E59" s="14">
        <v>1</v>
      </c>
      <c r="F59" s="14">
        <v>0</v>
      </c>
      <c r="G59" s="11">
        <v>0</v>
      </c>
      <c r="H59" s="14">
        <v>0</v>
      </c>
      <c r="I59" s="36"/>
      <c r="J59" s="34"/>
      <c r="K59" s="34"/>
      <c r="L59" s="34"/>
      <c r="M59" s="34"/>
      <c r="N59" s="34"/>
      <c r="O59" s="34"/>
      <c r="P59" s="37"/>
      <c r="Q59" s="14">
        <v>0</v>
      </c>
      <c r="R59" s="11">
        <v>0</v>
      </c>
      <c r="S59" s="14">
        <v>1</v>
      </c>
      <c r="T59" s="14">
        <v>0</v>
      </c>
      <c r="U59" s="11">
        <v>0</v>
      </c>
      <c r="V59" s="11">
        <v>1</v>
      </c>
      <c r="W59" s="14">
        <v>0</v>
      </c>
      <c r="X59" s="14">
        <v>0</v>
      </c>
      <c r="Y59" s="36"/>
      <c r="Z59" s="34"/>
      <c r="AA59" s="34"/>
      <c r="AB59" s="34"/>
      <c r="AC59" s="34"/>
      <c r="AD59" s="34"/>
      <c r="AE59" s="34"/>
      <c r="AF59" s="37"/>
      <c r="AG59" s="14">
        <v>0</v>
      </c>
      <c r="AH59" s="14">
        <v>1</v>
      </c>
      <c r="AI59" s="14">
        <v>0</v>
      </c>
      <c r="AJ59" s="14">
        <v>1</v>
      </c>
      <c r="AK59" s="14">
        <v>0</v>
      </c>
      <c r="AL59" s="14">
        <v>1</v>
      </c>
      <c r="AM59" s="14">
        <v>0</v>
      </c>
      <c r="AN59" s="14">
        <v>0</v>
      </c>
      <c r="AO59" s="36"/>
      <c r="AP59" s="34"/>
      <c r="AQ59" s="34"/>
      <c r="AR59" s="34"/>
      <c r="AS59" s="34"/>
      <c r="AT59" s="34"/>
      <c r="AU59" s="34"/>
      <c r="AV59" s="37"/>
      <c r="AW59" s="14">
        <v>0</v>
      </c>
      <c r="AX59" s="14">
        <v>1</v>
      </c>
      <c r="AY59" s="14">
        <v>0</v>
      </c>
      <c r="AZ59" s="14">
        <v>1</v>
      </c>
      <c r="BA59" s="14">
        <v>0</v>
      </c>
      <c r="BB59" s="14">
        <v>1</v>
      </c>
      <c r="BC59" s="14">
        <v>0</v>
      </c>
      <c r="BD59" s="14">
        <v>0</v>
      </c>
      <c r="BE59" s="36"/>
      <c r="BF59" s="34"/>
      <c r="BG59" s="34"/>
      <c r="BH59" s="34"/>
      <c r="BI59" s="34"/>
      <c r="BJ59" s="34"/>
      <c r="BK59" s="34"/>
      <c r="BL59" s="37"/>
      <c r="BO59" s="14">
        <v>0</v>
      </c>
      <c r="BP59" s="14">
        <v>1</v>
      </c>
      <c r="BQ59" s="14">
        <v>1</v>
      </c>
      <c r="BR59" s="14">
        <v>0</v>
      </c>
      <c r="BS59" s="14">
        <v>1</v>
      </c>
      <c r="BT59" s="14">
        <v>1</v>
      </c>
      <c r="BU59" s="14">
        <v>0</v>
      </c>
      <c r="BV59" s="14">
        <v>0</v>
      </c>
      <c r="BW59" s="36"/>
      <c r="BX59" s="34"/>
      <c r="BY59" s="34"/>
      <c r="BZ59" s="34"/>
      <c r="CA59" s="34"/>
      <c r="CB59" s="34"/>
      <c r="CC59" s="34"/>
      <c r="CD59" s="34"/>
      <c r="CE59" s="14">
        <v>0</v>
      </c>
      <c r="CF59" s="14">
        <v>1</v>
      </c>
      <c r="CG59" s="14">
        <v>1</v>
      </c>
      <c r="CH59" s="14">
        <v>0</v>
      </c>
      <c r="CI59" s="14">
        <v>0</v>
      </c>
      <c r="CJ59" s="14">
        <v>1</v>
      </c>
      <c r="CK59" s="14">
        <v>0</v>
      </c>
      <c r="CL59" s="14">
        <v>0</v>
      </c>
      <c r="CM59" s="36"/>
      <c r="CN59" s="34"/>
      <c r="CO59" s="34"/>
      <c r="CP59" s="34"/>
      <c r="CQ59" s="34"/>
      <c r="CR59" s="34"/>
      <c r="CS59" s="34"/>
      <c r="CT59" s="37"/>
    </row>
    <row r="60" spans="1:98" x14ac:dyDescent="0.25">
      <c r="A60" s="14">
        <v>0</v>
      </c>
      <c r="B60" s="14">
        <v>1</v>
      </c>
      <c r="C60" s="14">
        <v>0</v>
      </c>
      <c r="D60" s="11">
        <v>0</v>
      </c>
      <c r="E60" s="14">
        <v>1</v>
      </c>
      <c r="F60" s="14">
        <v>0</v>
      </c>
      <c r="G60" s="11">
        <v>0</v>
      </c>
      <c r="H60" s="14">
        <v>0</v>
      </c>
      <c r="I60" s="40" t="s">
        <v>22</v>
      </c>
      <c r="J60" s="41"/>
      <c r="K60" s="41"/>
      <c r="L60" s="41"/>
      <c r="M60" s="41"/>
      <c r="N60" s="41"/>
      <c r="O60" s="41"/>
      <c r="P60" s="43"/>
      <c r="Q60" s="14">
        <v>0</v>
      </c>
      <c r="R60" s="11">
        <v>0</v>
      </c>
      <c r="S60" s="14">
        <v>1</v>
      </c>
      <c r="T60" s="14">
        <v>0</v>
      </c>
      <c r="U60" s="11">
        <v>0</v>
      </c>
      <c r="V60" s="11">
        <v>1</v>
      </c>
      <c r="W60" s="14">
        <v>0</v>
      </c>
      <c r="X60" s="14">
        <v>0</v>
      </c>
      <c r="Y60" s="40" t="s">
        <v>23</v>
      </c>
      <c r="Z60" s="41"/>
      <c r="AA60" s="41"/>
      <c r="AB60" s="41"/>
      <c r="AC60" s="41"/>
      <c r="AD60" s="41"/>
      <c r="AE60" s="41"/>
      <c r="AF60" s="43"/>
      <c r="AG60" s="14">
        <v>0</v>
      </c>
      <c r="AH60" s="14">
        <v>1</v>
      </c>
      <c r="AI60" s="14">
        <v>0</v>
      </c>
      <c r="AJ60" s="14">
        <v>1</v>
      </c>
      <c r="AK60" s="14">
        <v>0</v>
      </c>
      <c r="AL60" s="14">
        <v>1</v>
      </c>
      <c r="AM60" s="14">
        <v>0</v>
      </c>
      <c r="AN60" s="14">
        <v>0</v>
      </c>
      <c r="AO60" s="40" t="s">
        <v>24</v>
      </c>
      <c r="AP60" s="41"/>
      <c r="AQ60" s="41"/>
      <c r="AR60" s="41"/>
      <c r="AS60" s="41"/>
      <c r="AT60" s="41"/>
      <c r="AU60" s="41"/>
      <c r="AV60" s="43"/>
      <c r="AW60" s="14">
        <v>0</v>
      </c>
      <c r="AX60" s="14">
        <v>1</v>
      </c>
      <c r="AY60" s="14">
        <v>0</v>
      </c>
      <c r="AZ60" s="14">
        <v>1</v>
      </c>
      <c r="BA60" s="14">
        <v>0</v>
      </c>
      <c r="BB60" s="14">
        <v>1</v>
      </c>
      <c r="BC60" s="14">
        <v>0</v>
      </c>
      <c r="BD60" s="14">
        <v>0</v>
      </c>
      <c r="BE60" s="40" t="s">
        <v>25</v>
      </c>
      <c r="BF60" s="41"/>
      <c r="BG60" s="41"/>
      <c r="BH60" s="41"/>
      <c r="BI60" s="41"/>
      <c r="BJ60" s="41"/>
      <c r="BK60" s="41"/>
      <c r="BL60" s="43"/>
      <c r="BO60" s="14">
        <v>0</v>
      </c>
      <c r="BP60" s="14">
        <v>1</v>
      </c>
      <c r="BQ60" s="14">
        <v>1</v>
      </c>
      <c r="BR60" s="14">
        <v>0</v>
      </c>
      <c r="BS60" s="14">
        <v>1</v>
      </c>
      <c r="BT60" s="14">
        <v>1</v>
      </c>
      <c r="BU60" s="14">
        <v>0</v>
      </c>
      <c r="BV60" s="14">
        <v>0</v>
      </c>
      <c r="BW60" s="40" t="s">
        <v>66</v>
      </c>
      <c r="BX60" s="41"/>
      <c r="BY60" s="41"/>
      <c r="BZ60" s="41"/>
      <c r="CA60" s="41"/>
      <c r="CB60" s="41"/>
      <c r="CC60" s="41"/>
      <c r="CD60" s="42"/>
      <c r="CE60" s="14">
        <v>0</v>
      </c>
      <c r="CF60" s="14">
        <v>1</v>
      </c>
      <c r="CG60" s="14">
        <v>0</v>
      </c>
      <c r="CH60" s="14">
        <v>1</v>
      </c>
      <c r="CI60" s="14">
        <v>0</v>
      </c>
      <c r="CJ60" s="14">
        <v>1</v>
      </c>
      <c r="CK60" s="14">
        <v>0</v>
      </c>
      <c r="CL60" s="14">
        <v>0</v>
      </c>
      <c r="CM60" s="40" t="s">
        <v>67</v>
      </c>
      <c r="CN60" s="41"/>
      <c r="CO60" s="41"/>
      <c r="CP60" s="41"/>
      <c r="CQ60" s="41"/>
      <c r="CR60" s="41"/>
      <c r="CS60" s="41"/>
      <c r="CT60" s="43"/>
    </row>
    <row r="61" spans="1:98" ht="15" customHeight="1" x14ac:dyDescent="0.25">
      <c r="A61" s="14">
        <v>0</v>
      </c>
      <c r="B61" s="14">
        <v>1</v>
      </c>
      <c r="C61" s="14">
        <v>0</v>
      </c>
      <c r="D61" s="11">
        <v>0</v>
      </c>
      <c r="E61" s="14">
        <v>1</v>
      </c>
      <c r="F61" s="14">
        <v>0</v>
      </c>
      <c r="G61" s="11">
        <v>0</v>
      </c>
      <c r="H61" s="14">
        <v>0</v>
      </c>
      <c r="I61" s="33" t="str">
        <f>"{{"&amp;I58&amp;"}"&amp;", "&amp;$I$1&amp;"},  //"&amp;I60&amp;":"&amp;M56&amp;":"&amp;O56</f>
        <v>{{0x0, 0x7F, 0x40, 0x40, 0x7F, 0xC0, 0x0, 0x0}, 8},  //Ц:208:166</v>
      </c>
      <c r="J61" s="34"/>
      <c r="K61" s="34"/>
      <c r="L61" s="34"/>
      <c r="M61" s="34"/>
      <c r="N61" s="34"/>
      <c r="O61" s="34"/>
      <c r="P61" s="35"/>
      <c r="Q61" s="14">
        <v>0</v>
      </c>
      <c r="R61" s="11">
        <v>0</v>
      </c>
      <c r="S61" s="14">
        <v>1</v>
      </c>
      <c r="T61" s="14">
        <v>1</v>
      </c>
      <c r="U61" s="11">
        <v>1</v>
      </c>
      <c r="V61" s="11">
        <v>1</v>
      </c>
      <c r="W61" s="14">
        <v>0</v>
      </c>
      <c r="X61" s="14">
        <v>0</v>
      </c>
      <c r="Y61" s="33" t="str">
        <f>"{{"&amp;Y58&amp;"}"&amp;", "&amp;$I$1&amp;"},  //"&amp;Y60&amp;":"&amp;AC56&amp;":"&amp;AE56</f>
        <v>{{0x0, 0x0, 0x1F, 0x10, 0x10, 0x7F, 0x0, 0x0}, 8},  //Ч:208:167</v>
      </c>
      <c r="Z61" s="34"/>
      <c r="AA61" s="34"/>
      <c r="AB61" s="34"/>
      <c r="AC61" s="34"/>
      <c r="AD61" s="34"/>
      <c r="AE61" s="34"/>
      <c r="AF61" s="35"/>
      <c r="AG61" s="14">
        <v>0</v>
      </c>
      <c r="AH61" s="14">
        <v>1</v>
      </c>
      <c r="AI61" s="14">
        <v>0</v>
      </c>
      <c r="AJ61" s="14">
        <v>1</v>
      </c>
      <c r="AK61" s="14">
        <v>0</v>
      </c>
      <c r="AL61" s="14">
        <v>1</v>
      </c>
      <c r="AM61" s="14">
        <v>0</v>
      </c>
      <c r="AN61" s="14">
        <v>0</v>
      </c>
      <c r="AO61" s="33" t="str">
        <f>"{{"&amp;AO58&amp;"}"&amp;", "&amp;$I$1&amp;"},  //"&amp;AO60&amp;":"&amp;AS56&amp;":"&amp;AU56</f>
        <v>{{0x0, 0x7F, 0x40, 0x7F, 0x40, 0x7F, 0x0, 0x0}, 8},  //Ш:208:168</v>
      </c>
      <c r="AP61" s="34"/>
      <c r="AQ61" s="34"/>
      <c r="AR61" s="34"/>
      <c r="AS61" s="34"/>
      <c r="AT61" s="34"/>
      <c r="AU61" s="34"/>
      <c r="AV61" s="35"/>
      <c r="AW61" s="14">
        <v>0</v>
      </c>
      <c r="AX61" s="14">
        <v>1</v>
      </c>
      <c r="AY61" s="14">
        <v>0</v>
      </c>
      <c r="AZ61" s="14">
        <v>1</v>
      </c>
      <c r="BA61" s="14">
        <v>0</v>
      </c>
      <c r="BB61" s="14">
        <v>1</v>
      </c>
      <c r="BC61" s="14">
        <v>0</v>
      </c>
      <c r="BD61" s="14">
        <v>0</v>
      </c>
      <c r="BE61" s="33" t="str">
        <f>"{{"&amp;BE58&amp;"}"&amp;", "&amp;$I$1&amp;"},  //"&amp;BE60&amp;":"&amp;BI56&amp;":"&amp;BK56</f>
        <v>{{0x0, 0x7F, 0x40, 0x7F, 0x40, 0x7F, 0xC0, 0x0}, 8},  //Щ:208:169</v>
      </c>
      <c r="BF61" s="34"/>
      <c r="BG61" s="34"/>
      <c r="BH61" s="34"/>
      <c r="BI61" s="34"/>
      <c r="BJ61" s="34"/>
      <c r="BK61" s="34"/>
      <c r="BL61" s="35"/>
      <c r="BO61" s="14">
        <v>0</v>
      </c>
      <c r="BP61" s="14">
        <v>1</v>
      </c>
      <c r="BQ61" s="14">
        <v>0</v>
      </c>
      <c r="BR61" s="14">
        <v>1</v>
      </c>
      <c r="BS61" s="14">
        <v>0</v>
      </c>
      <c r="BT61" s="14">
        <v>1</v>
      </c>
      <c r="BU61" s="14">
        <v>0</v>
      </c>
      <c r="BV61" s="14">
        <v>0</v>
      </c>
      <c r="BW61" s="33" t="str">
        <f>"{{"&amp;BW58&amp;"}"&amp;", "&amp;$I$1&amp;"},  //"&amp;BW60&amp;":"&amp;CA56&amp;":"&amp;CC56</f>
        <v>{{0x0, 0x7F, 0xC, 0x30, 0xC, 0x7F, 0x0, 0x0}, 8},  //M:0:77</v>
      </c>
      <c r="BX61" s="34"/>
      <c r="BY61" s="34"/>
      <c r="BZ61" s="34"/>
      <c r="CA61" s="34"/>
      <c r="CB61" s="34"/>
      <c r="CC61" s="34"/>
      <c r="CD61" s="35"/>
      <c r="CE61" s="14">
        <v>0</v>
      </c>
      <c r="CF61" s="14">
        <v>1</v>
      </c>
      <c r="CG61" s="14">
        <v>0</v>
      </c>
      <c r="CH61" s="14">
        <v>0</v>
      </c>
      <c r="CI61" s="14">
        <v>1</v>
      </c>
      <c r="CJ61" s="14">
        <v>1</v>
      </c>
      <c r="CK61" s="14">
        <v>0</v>
      </c>
      <c r="CL61" s="14">
        <v>0</v>
      </c>
      <c r="CM61" s="33" t="str">
        <f>"{{"&amp;CM58&amp;"}"&amp;", "&amp;$I$1&amp;"},  //"&amp;CM60&amp;":"&amp;CQ56&amp;":"&amp;CS56</f>
        <v>{{0x0, 0x7F, 0x4, 0x8, 0x10, 0x7F, 0x0, 0x0}, 8},  //N:0:78</v>
      </c>
      <c r="CN61" s="34"/>
      <c r="CO61" s="34"/>
      <c r="CP61" s="34"/>
      <c r="CQ61" s="34"/>
      <c r="CR61" s="34"/>
      <c r="CS61" s="34"/>
      <c r="CT61" s="35"/>
    </row>
    <row r="62" spans="1:98" x14ac:dyDescent="0.25">
      <c r="A62" s="14">
        <v>0</v>
      </c>
      <c r="B62" s="14">
        <v>1</v>
      </c>
      <c r="C62" s="14">
        <v>0</v>
      </c>
      <c r="D62" s="11">
        <v>0</v>
      </c>
      <c r="E62" s="14">
        <v>1</v>
      </c>
      <c r="F62" s="14">
        <v>0</v>
      </c>
      <c r="G62" s="11">
        <v>0</v>
      </c>
      <c r="H62" s="14">
        <v>0</v>
      </c>
      <c r="I62" s="33"/>
      <c r="J62" s="34"/>
      <c r="K62" s="34"/>
      <c r="L62" s="34"/>
      <c r="M62" s="34"/>
      <c r="N62" s="34"/>
      <c r="O62" s="34"/>
      <c r="P62" s="35"/>
      <c r="Q62" s="14">
        <v>0</v>
      </c>
      <c r="R62" s="14">
        <v>0</v>
      </c>
      <c r="S62" s="14">
        <v>0</v>
      </c>
      <c r="T62" s="14">
        <v>0</v>
      </c>
      <c r="U62" s="11">
        <v>0</v>
      </c>
      <c r="V62" s="11">
        <v>1</v>
      </c>
      <c r="W62" s="14">
        <v>0</v>
      </c>
      <c r="X62" s="14">
        <v>0</v>
      </c>
      <c r="Y62" s="33"/>
      <c r="Z62" s="34"/>
      <c r="AA62" s="34"/>
      <c r="AB62" s="34"/>
      <c r="AC62" s="34"/>
      <c r="AD62" s="34"/>
      <c r="AE62" s="34"/>
      <c r="AF62" s="35"/>
      <c r="AG62" s="14">
        <v>0</v>
      </c>
      <c r="AH62" s="14">
        <v>1</v>
      </c>
      <c r="AI62" s="14">
        <v>0</v>
      </c>
      <c r="AJ62" s="14">
        <v>1</v>
      </c>
      <c r="AK62" s="14">
        <v>0</v>
      </c>
      <c r="AL62" s="14">
        <v>1</v>
      </c>
      <c r="AM62" s="14">
        <v>0</v>
      </c>
      <c r="AN62" s="14">
        <v>0</v>
      </c>
      <c r="AO62" s="33"/>
      <c r="AP62" s="34"/>
      <c r="AQ62" s="34"/>
      <c r="AR62" s="34"/>
      <c r="AS62" s="34"/>
      <c r="AT62" s="34"/>
      <c r="AU62" s="34"/>
      <c r="AV62" s="35"/>
      <c r="AW62" s="14">
        <v>0</v>
      </c>
      <c r="AX62" s="14">
        <v>1</v>
      </c>
      <c r="AY62" s="14">
        <v>0</v>
      </c>
      <c r="AZ62" s="14">
        <v>1</v>
      </c>
      <c r="BA62" s="14">
        <v>0</v>
      </c>
      <c r="BB62" s="14">
        <v>1</v>
      </c>
      <c r="BC62" s="14">
        <v>0</v>
      </c>
      <c r="BD62" s="14">
        <v>0</v>
      </c>
      <c r="BE62" s="33"/>
      <c r="BF62" s="34"/>
      <c r="BG62" s="34"/>
      <c r="BH62" s="34"/>
      <c r="BI62" s="34"/>
      <c r="BJ62" s="34"/>
      <c r="BK62" s="34"/>
      <c r="BL62" s="35"/>
      <c r="BO62" s="14">
        <v>0</v>
      </c>
      <c r="BP62" s="14">
        <v>1</v>
      </c>
      <c r="BQ62" s="14">
        <v>0</v>
      </c>
      <c r="BR62" s="14">
        <v>1</v>
      </c>
      <c r="BS62" s="14">
        <v>0</v>
      </c>
      <c r="BT62" s="14">
        <v>1</v>
      </c>
      <c r="BU62" s="14">
        <v>0</v>
      </c>
      <c r="BV62" s="14">
        <v>0</v>
      </c>
      <c r="BW62" s="33"/>
      <c r="BX62" s="34"/>
      <c r="BY62" s="34"/>
      <c r="BZ62" s="34"/>
      <c r="CA62" s="34"/>
      <c r="CB62" s="34"/>
      <c r="CC62" s="34"/>
      <c r="CD62" s="35"/>
      <c r="CE62" s="14">
        <v>0</v>
      </c>
      <c r="CF62" s="14">
        <v>1</v>
      </c>
      <c r="CG62" s="14">
        <v>0</v>
      </c>
      <c r="CH62" s="14">
        <v>0</v>
      </c>
      <c r="CI62" s="14">
        <v>0</v>
      </c>
      <c r="CJ62" s="14">
        <v>1</v>
      </c>
      <c r="CK62" s="14">
        <v>0</v>
      </c>
      <c r="CL62" s="14">
        <v>0</v>
      </c>
      <c r="CM62" s="33"/>
      <c r="CN62" s="34"/>
      <c r="CO62" s="34"/>
      <c r="CP62" s="34"/>
      <c r="CQ62" s="34"/>
      <c r="CR62" s="34"/>
      <c r="CS62" s="34"/>
      <c r="CT62" s="35"/>
    </row>
    <row r="63" spans="1:98" ht="15" customHeight="1" x14ac:dyDescent="0.25">
      <c r="A63" s="14">
        <v>0</v>
      </c>
      <c r="B63" s="14">
        <v>1</v>
      </c>
      <c r="C63" s="14">
        <v>1</v>
      </c>
      <c r="D63" s="14">
        <v>1</v>
      </c>
      <c r="E63" s="14">
        <v>1</v>
      </c>
      <c r="F63" s="14">
        <v>1</v>
      </c>
      <c r="G63" s="11">
        <v>0</v>
      </c>
      <c r="H63" s="14">
        <v>0</v>
      </c>
      <c r="I63" s="40" t="s">
        <v>48</v>
      </c>
      <c r="J63" s="41"/>
      <c r="K63" s="41"/>
      <c r="L63" s="41"/>
      <c r="M63" s="44">
        <v>209</v>
      </c>
      <c r="N63" s="44"/>
      <c r="O63" s="44">
        <v>134</v>
      </c>
      <c r="P63" s="45"/>
      <c r="Q63" s="14">
        <v>0</v>
      </c>
      <c r="R63" s="14">
        <v>0</v>
      </c>
      <c r="S63" s="14">
        <v>0</v>
      </c>
      <c r="T63" s="14">
        <v>0</v>
      </c>
      <c r="U63" s="11">
        <v>0</v>
      </c>
      <c r="V63" s="11">
        <v>1</v>
      </c>
      <c r="W63" s="14">
        <v>0</v>
      </c>
      <c r="X63" s="14">
        <v>0</v>
      </c>
      <c r="Y63" s="40" t="s">
        <v>48</v>
      </c>
      <c r="Z63" s="41"/>
      <c r="AA63" s="41"/>
      <c r="AB63" s="41"/>
      <c r="AC63" s="44">
        <v>209</v>
      </c>
      <c r="AD63" s="44"/>
      <c r="AE63" s="44">
        <v>135</v>
      </c>
      <c r="AF63" s="45"/>
      <c r="AG63" s="14">
        <v>0</v>
      </c>
      <c r="AH63" s="14">
        <v>1</v>
      </c>
      <c r="AI63" s="14">
        <v>1</v>
      </c>
      <c r="AJ63" s="14">
        <v>1</v>
      </c>
      <c r="AK63" s="14">
        <v>1</v>
      </c>
      <c r="AL63" s="14">
        <v>1</v>
      </c>
      <c r="AM63" s="14">
        <v>0</v>
      </c>
      <c r="AN63" s="14">
        <v>0</v>
      </c>
      <c r="AO63" s="40" t="s">
        <v>48</v>
      </c>
      <c r="AP63" s="41"/>
      <c r="AQ63" s="41"/>
      <c r="AR63" s="41"/>
      <c r="AS63" s="44">
        <v>209</v>
      </c>
      <c r="AT63" s="44"/>
      <c r="AU63" s="44">
        <v>136</v>
      </c>
      <c r="AV63" s="45"/>
      <c r="AW63" s="14">
        <v>0</v>
      </c>
      <c r="AX63" s="14">
        <v>1</v>
      </c>
      <c r="AY63" s="14">
        <v>1</v>
      </c>
      <c r="AZ63" s="14">
        <v>1</v>
      </c>
      <c r="BA63" s="14">
        <v>1</v>
      </c>
      <c r="BB63" s="14">
        <v>1</v>
      </c>
      <c r="BC63" s="14">
        <v>1</v>
      </c>
      <c r="BD63" s="14">
        <v>0</v>
      </c>
      <c r="BE63" s="40" t="s">
        <v>48</v>
      </c>
      <c r="BF63" s="41"/>
      <c r="BG63" s="41"/>
      <c r="BH63" s="41"/>
      <c r="BI63" s="44">
        <v>209</v>
      </c>
      <c r="BJ63" s="44"/>
      <c r="BK63" s="44">
        <v>137</v>
      </c>
      <c r="BL63" s="45"/>
      <c r="BO63" s="14">
        <v>0</v>
      </c>
      <c r="BP63" s="14">
        <v>1</v>
      </c>
      <c r="BQ63" s="14">
        <v>0</v>
      </c>
      <c r="BR63" s="14">
        <v>0</v>
      </c>
      <c r="BS63" s="14">
        <v>0</v>
      </c>
      <c r="BT63" s="14">
        <v>1</v>
      </c>
      <c r="BU63" s="14">
        <v>0</v>
      </c>
      <c r="BV63" s="14">
        <v>0</v>
      </c>
      <c r="BW63" s="40" t="s">
        <v>48</v>
      </c>
      <c r="BX63" s="41"/>
      <c r="BY63" s="41"/>
      <c r="BZ63" s="41"/>
      <c r="CA63" s="44">
        <v>0</v>
      </c>
      <c r="CB63" s="44"/>
      <c r="CC63" s="44">
        <v>109</v>
      </c>
      <c r="CD63" s="45"/>
      <c r="CE63" s="14">
        <v>0</v>
      </c>
      <c r="CF63" s="14">
        <v>1</v>
      </c>
      <c r="CG63" s="14">
        <v>0</v>
      </c>
      <c r="CH63" s="14">
        <v>0</v>
      </c>
      <c r="CI63" s="14">
        <v>0</v>
      </c>
      <c r="CJ63" s="14">
        <v>1</v>
      </c>
      <c r="CK63" s="14">
        <v>0</v>
      </c>
      <c r="CL63" s="14">
        <v>0</v>
      </c>
      <c r="CM63" s="40" t="s">
        <v>48</v>
      </c>
      <c r="CN63" s="41"/>
      <c r="CO63" s="41"/>
      <c r="CP63" s="41"/>
      <c r="CQ63" s="44"/>
      <c r="CR63" s="44"/>
      <c r="CS63" s="44"/>
      <c r="CT63" s="45"/>
    </row>
    <row r="64" spans="1:98" x14ac:dyDescent="0.25">
      <c r="A64" s="15">
        <v>0</v>
      </c>
      <c r="B64" s="15">
        <v>0</v>
      </c>
      <c r="C64" s="15">
        <v>0</v>
      </c>
      <c r="D64" s="15">
        <v>0</v>
      </c>
      <c r="E64" s="15">
        <v>0</v>
      </c>
      <c r="F64" s="15">
        <v>1</v>
      </c>
      <c r="G64" s="11">
        <v>0</v>
      </c>
      <c r="H64" s="15">
        <v>0</v>
      </c>
      <c r="I64" s="12"/>
      <c r="J64" s="12"/>
      <c r="K64" s="12"/>
      <c r="L64" s="12"/>
      <c r="M64" s="12"/>
      <c r="N64" s="12"/>
      <c r="O64" s="12"/>
      <c r="P64" s="13"/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1">
        <v>0</v>
      </c>
      <c r="W64" s="15">
        <v>0</v>
      </c>
      <c r="X64" s="15">
        <v>0</v>
      </c>
      <c r="Y64" s="12"/>
      <c r="Z64" s="12"/>
      <c r="AA64" s="12"/>
      <c r="AB64" s="12"/>
      <c r="AC64" s="12"/>
      <c r="AD64" s="12"/>
      <c r="AE64" s="12"/>
      <c r="AF64" s="13"/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2"/>
      <c r="AP64" s="12"/>
      <c r="AQ64" s="12"/>
      <c r="AR64" s="12"/>
      <c r="AS64" s="12"/>
      <c r="AT64" s="12"/>
      <c r="AU64" s="12"/>
      <c r="AV64" s="13"/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1</v>
      </c>
      <c r="BD64" s="15">
        <v>0</v>
      </c>
      <c r="BE64" s="12"/>
      <c r="BF64" s="12"/>
      <c r="BG64" s="12"/>
      <c r="BH64" s="12"/>
      <c r="BI64" s="12"/>
      <c r="BJ64" s="12"/>
      <c r="BK64" s="12"/>
      <c r="BL64" s="12"/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2"/>
      <c r="BX64" s="12"/>
      <c r="BY64" s="12"/>
      <c r="BZ64" s="12"/>
      <c r="CA64" s="12"/>
      <c r="CB64" s="12"/>
      <c r="CC64" s="12"/>
      <c r="CD64" s="12"/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2"/>
      <c r="CN64" s="12"/>
      <c r="CO64" s="12"/>
      <c r="CP64" s="12"/>
      <c r="CQ64" s="12"/>
      <c r="CR64" s="12"/>
      <c r="CS64" s="12"/>
      <c r="CT64" s="12"/>
    </row>
    <row r="65" spans="1:98" s="5" customFormat="1" x14ac:dyDescent="0.25">
      <c r="A65" s="10">
        <v>1</v>
      </c>
      <c r="B65" s="10">
        <v>2</v>
      </c>
      <c r="C65" s="10">
        <v>3</v>
      </c>
      <c r="D65" s="10">
        <v>4</v>
      </c>
      <c r="E65" s="10">
        <v>5</v>
      </c>
      <c r="F65" s="10">
        <v>6</v>
      </c>
      <c r="G65" s="10">
        <v>7</v>
      </c>
      <c r="H65" s="10">
        <v>8</v>
      </c>
      <c r="I65" s="38" t="s">
        <v>0</v>
      </c>
      <c r="J65" s="38"/>
      <c r="K65" s="38"/>
      <c r="L65" s="38"/>
      <c r="M65" s="39">
        <v>208</v>
      </c>
      <c r="N65" s="39"/>
      <c r="O65" s="39">
        <v>170</v>
      </c>
      <c r="P65" s="39"/>
      <c r="Q65" s="10">
        <v>1</v>
      </c>
      <c r="R65" s="10">
        <v>2</v>
      </c>
      <c r="S65" s="10">
        <v>3</v>
      </c>
      <c r="T65" s="10">
        <v>4</v>
      </c>
      <c r="U65" s="10">
        <v>5</v>
      </c>
      <c r="V65" s="10">
        <v>6</v>
      </c>
      <c r="W65" s="10">
        <v>7</v>
      </c>
      <c r="X65" s="10">
        <v>8</v>
      </c>
      <c r="Y65" s="38" t="s">
        <v>0</v>
      </c>
      <c r="Z65" s="38"/>
      <c r="AA65" s="38"/>
      <c r="AB65" s="38"/>
      <c r="AC65" s="39">
        <v>208</v>
      </c>
      <c r="AD65" s="39"/>
      <c r="AE65" s="39">
        <v>171</v>
      </c>
      <c r="AF65" s="39"/>
      <c r="AG65" s="10">
        <v>1</v>
      </c>
      <c r="AH65" s="10">
        <v>2</v>
      </c>
      <c r="AI65" s="10">
        <v>3</v>
      </c>
      <c r="AJ65" s="10">
        <v>4</v>
      </c>
      <c r="AK65" s="10">
        <v>5</v>
      </c>
      <c r="AL65" s="10">
        <v>6</v>
      </c>
      <c r="AM65" s="10">
        <v>7</v>
      </c>
      <c r="AN65" s="10">
        <v>8</v>
      </c>
      <c r="AO65" s="38" t="s">
        <v>0</v>
      </c>
      <c r="AP65" s="38"/>
      <c r="AQ65" s="38"/>
      <c r="AR65" s="38"/>
      <c r="AS65" s="39">
        <v>208</v>
      </c>
      <c r="AT65" s="39"/>
      <c r="AU65" s="39">
        <v>172</v>
      </c>
      <c r="AV65" s="39"/>
      <c r="AW65" s="10">
        <v>1</v>
      </c>
      <c r="AX65" s="10">
        <v>2</v>
      </c>
      <c r="AY65" s="10">
        <v>3</v>
      </c>
      <c r="AZ65" s="10">
        <v>4</v>
      </c>
      <c r="BA65" s="10">
        <v>5</v>
      </c>
      <c r="BB65" s="10">
        <v>6</v>
      </c>
      <c r="BC65" s="10">
        <v>7</v>
      </c>
      <c r="BD65" s="10">
        <v>8</v>
      </c>
      <c r="BE65" s="38" t="s">
        <v>0</v>
      </c>
      <c r="BF65" s="38"/>
      <c r="BG65" s="38"/>
      <c r="BH65" s="38"/>
      <c r="BI65" s="39">
        <v>208</v>
      </c>
      <c r="BJ65" s="39"/>
      <c r="BK65" s="39">
        <v>173</v>
      </c>
      <c r="BL65" s="39"/>
      <c r="BM65" s="20"/>
      <c r="BN65" s="20"/>
      <c r="BO65" s="10">
        <v>1</v>
      </c>
      <c r="BP65" s="10">
        <v>2</v>
      </c>
      <c r="BQ65" s="10">
        <v>3</v>
      </c>
      <c r="BR65" s="10">
        <v>4</v>
      </c>
      <c r="BS65" s="10">
        <v>5</v>
      </c>
      <c r="BT65" s="10">
        <v>6</v>
      </c>
      <c r="BU65" s="10">
        <v>7</v>
      </c>
      <c r="BV65" s="10">
        <v>8</v>
      </c>
      <c r="BW65" s="38" t="s">
        <v>0</v>
      </c>
      <c r="BX65" s="38"/>
      <c r="BY65" s="38"/>
      <c r="BZ65" s="38"/>
      <c r="CA65" s="39">
        <v>0</v>
      </c>
      <c r="CB65" s="39"/>
      <c r="CC65" s="39">
        <v>79</v>
      </c>
      <c r="CD65" s="39"/>
      <c r="CE65" s="10">
        <v>1</v>
      </c>
      <c r="CF65" s="10">
        <v>2</v>
      </c>
      <c r="CG65" s="10">
        <v>3</v>
      </c>
      <c r="CH65" s="10">
        <v>4</v>
      </c>
      <c r="CI65" s="10">
        <v>5</v>
      </c>
      <c r="CJ65" s="10">
        <v>6</v>
      </c>
      <c r="CK65" s="10">
        <v>7</v>
      </c>
      <c r="CL65" s="10">
        <v>8</v>
      </c>
      <c r="CM65" s="38" t="s">
        <v>0</v>
      </c>
      <c r="CN65" s="38"/>
      <c r="CO65" s="38"/>
      <c r="CP65" s="38"/>
      <c r="CQ65" s="39">
        <v>0</v>
      </c>
      <c r="CR65" s="39"/>
      <c r="CS65" s="39">
        <v>80</v>
      </c>
      <c r="CT65" s="39"/>
    </row>
    <row r="66" spans="1:98" x14ac:dyDescent="0.25">
      <c r="A66" s="11">
        <v>0</v>
      </c>
      <c r="B66" s="11">
        <v>1</v>
      </c>
      <c r="C66" s="11">
        <v>1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2" t="str">
        <f>BIN2HEX(A73&amp;A72&amp;A71&amp;A70&amp;A69&amp;A68&amp;A67&amp;A66)</f>
        <v>0</v>
      </c>
      <c r="J66" s="12" t="str">
        <f t="shared" ref="J66" si="236">BIN2HEX(B73&amp;B72&amp;B71&amp;B70&amp;B69&amp;B68&amp;B67&amp;B66)</f>
        <v>1</v>
      </c>
      <c r="K66" s="12" t="str">
        <f t="shared" ref="K66" si="237">BIN2HEX(C73&amp;C72&amp;C71&amp;C70&amp;C69&amp;C68&amp;C67&amp;C66)</f>
        <v>7F</v>
      </c>
      <c r="L66" s="12" t="str">
        <f t="shared" ref="L66" si="238">BIN2HEX(D73&amp;D72&amp;D71&amp;D70&amp;D69&amp;D68&amp;D67&amp;D66)</f>
        <v>48</v>
      </c>
      <c r="M66" s="12" t="str">
        <f t="shared" ref="M66" si="239">BIN2HEX(E73&amp;E72&amp;E71&amp;E70&amp;E69&amp;E68&amp;E67&amp;E66)</f>
        <v>48</v>
      </c>
      <c r="N66" s="12" t="str">
        <f t="shared" ref="N66" si="240">BIN2HEX(F73&amp;F72&amp;F71&amp;F70&amp;F69&amp;F68&amp;F67&amp;F66)</f>
        <v>30</v>
      </c>
      <c r="O66" s="12" t="str">
        <f t="shared" ref="O66" si="241">BIN2HEX(G73&amp;G72&amp;G71&amp;G70&amp;G69&amp;G68&amp;G67&amp;G66)</f>
        <v>0</v>
      </c>
      <c r="P66" s="13" t="str">
        <f>BIN2HEX(H73&amp;H72&amp;H71&amp;H70&amp;H69&amp;H68&amp;H67&amp;H66)</f>
        <v>0</v>
      </c>
      <c r="Q66" s="11">
        <v>0</v>
      </c>
      <c r="R66" s="11">
        <v>1</v>
      </c>
      <c r="S66" s="11">
        <v>0</v>
      </c>
      <c r="T66" s="11">
        <v>0</v>
      </c>
      <c r="U66" s="11">
        <v>0</v>
      </c>
      <c r="V66" s="11">
        <v>0</v>
      </c>
      <c r="W66" s="11">
        <v>1</v>
      </c>
      <c r="X66" s="11">
        <v>0</v>
      </c>
      <c r="Y66" s="12" t="str">
        <f>BIN2HEX(Q73&amp;Q72&amp;Q71&amp;Q70&amp;Q69&amp;Q68&amp;Q67&amp;Q66)</f>
        <v>0</v>
      </c>
      <c r="Z66" s="12" t="str">
        <f t="shared" ref="Z66" si="242">BIN2HEX(R73&amp;R72&amp;R71&amp;R70&amp;R69&amp;R68&amp;R67&amp;R66)</f>
        <v>7F</v>
      </c>
      <c r="AA66" s="12" t="str">
        <f t="shared" ref="AA66" si="243">BIN2HEX(S73&amp;S72&amp;S71&amp;S70&amp;S69&amp;S68&amp;S67&amp;S66)</f>
        <v>48</v>
      </c>
      <c r="AB66" s="12" t="str">
        <f t="shared" ref="AB66" si="244">BIN2HEX(T73&amp;T72&amp;T71&amp;T70&amp;T69&amp;T68&amp;T67&amp;T66)</f>
        <v>48</v>
      </c>
      <c r="AC66" s="12" t="str">
        <f t="shared" ref="AC66" si="245">BIN2HEX(U73&amp;U72&amp;U71&amp;U70&amp;U69&amp;U68&amp;U67&amp;U66)</f>
        <v>30</v>
      </c>
      <c r="AD66" s="12" t="str">
        <f t="shared" ref="AD66" si="246">BIN2HEX(V73&amp;V72&amp;V71&amp;V70&amp;V69&amp;V68&amp;V67&amp;V66)</f>
        <v>0</v>
      </c>
      <c r="AE66" s="12" t="str">
        <f t="shared" ref="AE66" si="247">BIN2HEX(W73&amp;W72&amp;W71&amp;W70&amp;W69&amp;W68&amp;W67&amp;W66)</f>
        <v>7F</v>
      </c>
      <c r="AF66" s="13" t="str">
        <f>BIN2HEX(X73&amp;X72&amp;X71&amp;X70&amp;X69&amp;X68&amp;X67&amp;X66)</f>
        <v>0</v>
      </c>
      <c r="AG66" s="11">
        <v>0</v>
      </c>
      <c r="AH66" s="11">
        <v>0</v>
      </c>
      <c r="AI66" s="11">
        <v>1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2" t="str">
        <f>BIN2HEX(AG73&amp;AG72&amp;AG71&amp;AG70&amp;AG69&amp;AG68&amp;AG67&amp;AG66)</f>
        <v>0</v>
      </c>
      <c r="AP66" s="12" t="str">
        <f t="shared" ref="AP66" si="248">BIN2HEX(AH73&amp;AH72&amp;AH71&amp;AH70&amp;AH69&amp;AH68&amp;AH67&amp;AH66)</f>
        <v>0</v>
      </c>
      <c r="AQ66" s="12" t="str">
        <f t="shared" ref="AQ66" si="249">BIN2HEX(AI73&amp;AI72&amp;AI71&amp;AI70&amp;AI69&amp;AI68&amp;AI67&amp;AI66)</f>
        <v>7F</v>
      </c>
      <c r="AR66" s="12" t="str">
        <f t="shared" ref="AR66" si="250">BIN2HEX(AJ73&amp;AJ72&amp;AJ71&amp;AJ70&amp;AJ69&amp;AJ68&amp;AJ67&amp;AJ66)</f>
        <v>48</v>
      </c>
      <c r="AS66" s="12" t="str">
        <f t="shared" ref="AS66" si="251">BIN2HEX(AK73&amp;AK72&amp;AK71&amp;AK70&amp;AK69&amp;AK68&amp;AK67&amp;AK66)</f>
        <v>48</v>
      </c>
      <c r="AT66" s="12" t="str">
        <f t="shared" ref="AT66" si="252">BIN2HEX(AL73&amp;AL72&amp;AL71&amp;AL70&amp;AL69&amp;AL68&amp;AL67&amp;AL66)</f>
        <v>30</v>
      </c>
      <c r="AU66" s="12" t="str">
        <f t="shared" ref="AU66" si="253">BIN2HEX(AM73&amp;AM72&amp;AM71&amp;AM70&amp;AM69&amp;AM68&amp;AM67&amp;AM66)</f>
        <v>0</v>
      </c>
      <c r="AV66" s="13" t="str">
        <f>BIN2HEX(AN73&amp;AN72&amp;AN71&amp;AN70&amp;AN69&amp;AN68&amp;AN67&amp;AN66)</f>
        <v>0</v>
      </c>
      <c r="AW66" s="11">
        <v>0</v>
      </c>
      <c r="AX66" s="11">
        <v>0</v>
      </c>
      <c r="AY66" s="11">
        <v>1</v>
      </c>
      <c r="AZ66" s="11">
        <v>1</v>
      </c>
      <c r="BA66" s="11">
        <v>1</v>
      </c>
      <c r="BB66" s="11">
        <v>0</v>
      </c>
      <c r="BC66" s="11">
        <v>0</v>
      </c>
      <c r="BD66" s="11">
        <v>0</v>
      </c>
      <c r="BE66" s="12" t="str">
        <f>BIN2HEX(AW73&amp;AW72&amp;AW71&amp;AW70&amp;AW69&amp;AW68&amp;AW67&amp;AW66)</f>
        <v>0</v>
      </c>
      <c r="BF66" s="12" t="str">
        <f t="shared" ref="BF66" si="254">BIN2HEX(AX73&amp;AX72&amp;AX71&amp;AX70&amp;AX69&amp;AX68&amp;AX67&amp;AX66)</f>
        <v>22</v>
      </c>
      <c r="BG66" s="12" t="str">
        <f t="shared" ref="BG66" si="255">BIN2HEX(AY73&amp;AY72&amp;AY71&amp;AY70&amp;AY69&amp;AY68&amp;AY67&amp;AY66)</f>
        <v>49</v>
      </c>
      <c r="BH66" s="12" t="str">
        <f t="shared" ref="BH66" si="256">BIN2HEX(AZ73&amp;AZ72&amp;AZ71&amp;AZ70&amp;AZ69&amp;AZ68&amp;AZ67&amp;AZ66)</f>
        <v>49</v>
      </c>
      <c r="BI66" s="12" t="str">
        <f t="shared" ref="BI66" si="257">BIN2HEX(BA73&amp;BA72&amp;BA71&amp;BA70&amp;BA69&amp;BA68&amp;BA67&amp;BA66)</f>
        <v>49</v>
      </c>
      <c r="BJ66" s="12" t="str">
        <f t="shared" ref="BJ66" si="258">BIN2HEX(BB73&amp;BB72&amp;BB71&amp;BB70&amp;BB69&amp;BB68&amp;BB67&amp;BB66)</f>
        <v>3E</v>
      </c>
      <c r="BK66" s="12" t="str">
        <f t="shared" ref="BK66" si="259">BIN2HEX(BC73&amp;BC72&amp;BC71&amp;BC70&amp;BC69&amp;BC68&amp;BC67&amp;BC66)</f>
        <v>0</v>
      </c>
      <c r="BL66" s="12" t="str">
        <f>BIN2HEX(BD73&amp;BD72&amp;BD71&amp;BD70&amp;BD69&amp;BD68&amp;BD67&amp;BD66)</f>
        <v>0</v>
      </c>
      <c r="BO66" s="11">
        <v>0</v>
      </c>
      <c r="BP66" s="11">
        <v>0</v>
      </c>
      <c r="BQ66" s="11">
        <v>1</v>
      </c>
      <c r="BR66" s="11">
        <v>1</v>
      </c>
      <c r="BS66" s="11">
        <v>1</v>
      </c>
      <c r="BT66" s="11">
        <v>0</v>
      </c>
      <c r="BU66" s="11">
        <v>0</v>
      </c>
      <c r="BV66" s="11">
        <v>0</v>
      </c>
      <c r="BW66" s="12" t="str">
        <f>BIN2HEX(BO73&amp;BO72&amp;BO71&amp;BO70&amp;BO69&amp;BO68&amp;BO67&amp;BO66)</f>
        <v>0</v>
      </c>
      <c r="BX66" s="12" t="str">
        <f t="shared" ref="BX66" si="260">BIN2HEX(BP73&amp;BP72&amp;BP71&amp;BP70&amp;BP69&amp;BP68&amp;BP67&amp;BP66)</f>
        <v>3E</v>
      </c>
      <c r="BY66" s="12" t="str">
        <f t="shared" ref="BY66" si="261">BIN2HEX(BQ73&amp;BQ72&amp;BQ71&amp;BQ70&amp;BQ69&amp;BQ68&amp;BQ67&amp;BQ66)</f>
        <v>41</v>
      </c>
      <c r="BZ66" s="12" t="str">
        <f t="shared" ref="BZ66" si="262">BIN2HEX(BR73&amp;BR72&amp;BR71&amp;BR70&amp;BR69&amp;BR68&amp;BR67&amp;BR66)</f>
        <v>41</v>
      </c>
      <c r="CA66" s="12" t="str">
        <f t="shared" ref="CA66" si="263">BIN2HEX(BS73&amp;BS72&amp;BS71&amp;BS70&amp;BS69&amp;BS68&amp;BS67&amp;BS66)</f>
        <v>41</v>
      </c>
      <c r="CB66" s="12" t="str">
        <f t="shared" ref="CB66" si="264">BIN2HEX(BT73&amp;BT72&amp;BT71&amp;BT70&amp;BT69&amp;BT68&amp;BT67&amp;BT66)</f>
        <v>3E</v>
      </c>
      <c r="CC66" s="12" t="str">
        <f t="shared" ref="CC66" si="265">BIN2HEX(BU73&amp;BU72&amp;BU71&amp;BU70&amp;BU69&amp;BU68&amp;BU67&amp;BU66)</f>
        <v>0</v>
      </c>
      <c r="CD66" s="12" t="str">
        <f>BIN2HEX(BV73&amp;BV72&amp;BV71&amp;BV70&amp;BV69&amp;BV68&amp;BV67&amp;BV66)</f>
        <v>0</v>
      </c>
      <c r="CE66" s="11">
        <v>0</v>
      </c>
      <c r="CF66" s="11">
        <v>1</v>
      </c>
      <c r="CG66" s="11">
        <v>1</v>
      </c>
      <c r="CH66" s="11">
        <v>1</v>
      </c>
      <c r="CI66" s="11">
        <v>1</v>
      </c>
      <c r="CJ66" s="11">
        <v>0</v>
      </c>
      <c r="CK66" s="11">
        <v>0</v>
      </c>
      <c r="CL66" s="11">
        <v>0</v>
      </c>
      <c r="CM66" s="12" t="str">
        <f>BIN2HEX(CE73&amp;CE72&amp;CE71&amp;CE70&amp;CE69&amp;CE68&amp;CE67&amp;CE66)</f>
        <v>0</v>
      </c>
      <c r="CN66" s="12" t="str">
        <f t="shared" ref="CN66" si="266">BIN2HEX(CF73&amp;CF72&amp;CF71&amp;CF70&amp;CF69&amp;CF68&amp;CF67&amp;CF66)</f>
        <v>7F</v>
      </c>
      <c r="CO66" s="12" t="str">
        <f t="shared" ref="CO66" si="267">BIN2HEX(CG73&amp;CG72&amp;CG71&amp;CG70&amp;CG69&amp;CG68&amp;CG67&amp;CG66)</f>
        <v>9</v>
      </c>
      <c r="CP66" s="12" t="str">
        <f t="shared" ref="CP66" si="268">BIN2HEX(CH73&amp;CH72&amp;CH71&amp;CH70&amp;CH69&amp;CH68&amp;CH67&amp;CH66)</f>
        <v>9</v>
      </c>
      <c r="CQ66" s="12" t="str">
        <f t="shared" ref="CQ66" si="269">BIN2HEX(CI73&amp;CI72&amp;CI71&amp;CI70&amp;CI69&amp;CI68&amp;CI67&amp;CI66)</f>
        <v>9</v>
      </c>
      <c r="CR66" s="12" t="str">
        <f t="shared" ref="CR66" si="270">BIN2HEX(CJ73&amp;CJ72&amp;CJ71&amp;CJ70&amp;CJ69&amp;CJ68&amp;CJ67&amp;CJ66)</f>
        <v>6</v>
      </c>
      <c r="CS66" s="12" t="str">
        <f t="shared" ref="CS66" si="271">BIN2HEX(CK73&amp;CK72&amp;CK71&amp;CK70&amp;CK69&amp;CK68&amp;CK67&amp;CK66)</f>
        <v>0</v>
      </c>
      <c r="CT66" s="13" t="str">
        <f>BIN2HEX(CL73&amp;CL72&amp;CL71&amp;CL70&amp;CL69&amp;CL68&amp;CL67&amp;CL66)</f>
        <v>0</v>
      </c>
    </row>
    <row r="67" spans="1:98" ht="15" customHeight="1" x14ac:dyDescent="0.25">
      <c r="A67" s="14">
        <v>0</v>
      </c>
      <c r="B67" s="14">
        <v>0</v>
      </c>
      <c r="C67" s="14">
        <v>1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36" t="str">
        <f>"0x"&amp;I66&amp;", 0x"&amp;J66&amp;", 0x"&amp;K66&amp;", 0x"&amp;L66&amp;", 0x"&amp;M66&amp;", 0x"&amp;N66&amp;", 0x"&amp;O66&amp;", 0x"&amp;P66</f>
        <v>0x0, 0x1, 0x7F, 0x48, 0x48, 0x30, 0x0, 0x0</v>
      </c>
      <c r="J67" s="34"/>
      <c r="K67" s="34"/>
      <c r="L67" s="34"/>
      <c r="M67" s="34"/>
      <c r="N67" s="34"/>
      <c r="O67" s="34"/>
      <c r="P67" s="37"/>
      <c r="Q67" s="14">
        <v>0</v>
      </c>
      <c r="R67" s="14">
        <v>1</v>
      </c>
      <c r="S67" s="14">
        <v>0</v>
      </c>
      <c r="T67" s="14">
        <v>0</v>
      </c>
      <c r="U67" s="14">
        <v>0</v>
      </c>
      <c r="V67" s="14">
        <v>0</v>
      </c>
      <c r="W67" s="14">
        <v>1</v>
      </c>
      <c r="X67" s="14">
        <v>0</v>
      </c>
      <c r="Y67" s="36" t="str">
        <f>"0x"&amp;Y66&amp;", 0x"&amp;Z66&amp;", 0x"&amp;AA66&amp;", 0x"&amp;AB66&amp;", 0x"&amp;AC66&amp;", 0x"&amp;AD66&amp;", 0x"&amp;AE66&amp;", 0x"&amp;AF66</f>
        <v>0x0, 0x7F, 0x48, 0x48, 0x30, 0x0, 0x7F, 0x0</v>
      </c>
      <c r="Z67" s="34"/>
      <c r="AA67" s="34"/>
      <c r="AB67" s="34"/>
      <c r="AC67" s="34"/>
      <c r="AD67" s="34"/>
      <c r="AE67" s="34"/>
      <c r="AF67" s="37"/>
      <c r="AG67" s="14">
        <v>0</v>
      </c>
      <c r="AH67" s="14">
        <v>0</v>
      </c>
      <c r="AI67" s="14">
        <v>1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36" t="str">
        <f>"0x"&amp;AO66&amp;", 0x"&amp;AP66&amp;", 0x"&amp;AQ66&amp;", 0x"&amp;AR66&amp;", 0x"&amp;AS66&amp;", 0x"&amp;AT66&amp;", 0x"&amp;AU66&amp;", 0x"&amp;AV66</f>
        <v>0x0, 0x0, 0x7F, 0x48, 0x48, 0x30, 0x0, 0x0</v>
      </c>
      <c r="AP67" s="34"/>
      <c r="AQ67" s="34"/>
      <c r="AR67" s="34"/>
      <c r="AS67" s="34"/>
      <c r="AT67" s="34"/>
      <c r="AU67" s="34"/>
      <c r="AV67" s="37"/>
      <c r="AW67" s="14">
        <v>0</v>
      </c>
      <c r="AX67" s="14">
        <v>1</v>
      </c>
      <c r="AY67" s="14">
        <v>0</v>
      </c>
      <c r="AZ67" s="14">
        <v>0</v>
      </c>
      <c r="BA67" s="14">
        <v>0</v>
      </c>
      <c r="BB67" s="14">
        <v>1</v>
      </c>
      <c r="BC67" s="14">
        <v>0</v>
      </c>
      <c r="BD67" s="14">
        <v>0</v>
      </c>
      <c r="BE67" s="36" t="str">
        <f>"0x"&amp;BE66&amp;", 0x"&amp;BF66&amp;", 0x"&amp;BG66&amp;", 0x"&amp;BH66&amp;", 0x"&amp;BI66&amp;", 0x"&amp;BJ66&amp;", 0x"&amp;BK66&amp;", 0x"&amp;BL66</f>
        <v>0x0, 0x22, 0x49, 0x49, 0x49, 0x3E, 0x0, 0x0</v>
      </c>
      <c r="BF67" s="34"/>
      <c r="BG67" s="34"/>
      <c r="BH67" s="34"/>
      <c r="BI67" s="34"/>
      <c r="BJ67" s="34"/>
      <c r="BK67" s="34"/>
      <c r="BL67" s="37"/>
      <c r="BO67" s="14">
        <v>0</v>
      </c>
      <c r="BP67" s="14">
        <v>1</v>
      </c>
      <c r="BQ67" s="14">
        <v>0</v>
      </c>
      <c r="BR67" s="14">
        <v>0</v>
      </c>
      <c r="BS67" s="14">
        <v>0</v>
      </c>
      <c r="BT67" s="14">
        <v>1</v>
      </c>
      <c r="BU67" s="14">
        <v>0</v>
      </c>
      <c r="BV67" s="14">
        <v>0</v>
      </c>
      <c r="BW67" s="36" t="str">
        <f>"0x"&amp;BW66&amp;", 0x"&amp;BX66&amp;", 0x"&amp;BY66&amp;", 0x"&amp;BZ66&amp;", 0x"&amp;CA66&amp;", 0x"&amp;CB66&amp;", 0x"&amp;CC66&amp;", 0x"&amp;CD66</f>
        <v>0x0, 0x3E, 0x41, 0x41, 0x41, 0x3E, 0x0, 0x0</v>
      </c>
      <c r="BX67" s="34"/>
      <c r="BY67" s="34"/>
      <c r="BZ67" s="34"/>
      <c r="CA67" s="34"/>
      <c r="CB67" s="34"/>
      <c r="CC67" s="34"/>
      <c r="CD67" s="34"/>
      <c r="CE67" s="14">
        <v>0</v>
      </c>
      <c r="CF67" s="14">
        <v>1</v>
      </c>
      <c r="CG67" s="14">
        <v>0</v>
      </c>
      <c r="CH67" s="14">
        <v>0</v>
      </c>
      <c r="CI67" s="14">
        <v>0</v>
      </c>
      <c r="CJ67" s="14">
        <v>1</v>
      </c>
      <c r="CK67" s="14">
        <v>0</v>
      </c>
      <c r="CL67" s="14">
        <v>0</v>
      </c>
      <c r="CM67" s="36" t="str">
        <f>"0x"&amp;CM66&amp;", 0x"&amp;CN66&amp;", 0x"&amp;CO66&amp;", 0x"&amp;CP66&amp;", 0x"&amp;CQ66&amp;", 0x"&amp;CR66&amp;", 0x"&amp;CS66&amp;", 0x"&amp;CT66</f>
        <v>0x0, 0x7F, 0x9, 0x9, 0x9, 0x6, 0x0, 0x0</v>
      </c>
      <c r="CN67" s="34"/>
      <c r="CO67" s="34"/>
      <c r="CP67" s="34"/>
      <c r="CQ67" s="34"/>
      <c r="CR67" s="34"/>
      <c r="CS67" s="34"/>
      <c r="CT67" s="37"/>
    </row>
    <row r="68" spans="1:98" x14ac:dyDescent="0.25">
      <c r="A68" s="14">
        <v>0</v>
      </c>
      <c r="B68" s="14">
        <v>0</v>
      </c>
      <c r="C68" s="14">
        <v>1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36"/>
      <c r="J68" s="34"/>
      <c r="K68" s="34"/>
      <c r="L68" s="34"/>
      <c r="M68" s="34"/>
      <c r="N68" s="34"/>
      <c r="O68" s="34"/>
      <c r="P68" s="37"/>
      <c r="Q68" s="14">
        <v>0</v>
      </c>
      <c r="R68" s="14">
        <v>1</v>
      </c>
      <c r="S68" s="14">
        <v>0</v>
      </c>
      <c r="T68" s="14">
        <v>0</v>
      </c>
      <c r="U68" s="14">
        <v>0</v>
      </c>
      <c r="V68" s="14">
        <v>0</v>
      </c>
      <c r="W68" s="14">
        <v>1</v>
      </c>
      <c r="X68" s="14">
        <v>0</v>
      </c>
      <c r="Y68" s="36"/>
      <c r="Z68" s="34"/>
      <c r="AA68" s="34"/>
      <c r="AB68" s="34"/>
      <c r="AC68" s="34"/>
      <c r="AD68" s="34"/>
      <c r="AE68" s="34"/>
      <c r="AF68" s="37"/>
      <c r="AG68" s="14">
        <v>0</v>
      </c>
      <c r="AH68" s="14">
        <v>0</v>
      </c>
      <c r="AI68" s="14">
        <v>1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36"/>
      <c r="AP68" s="34"/>
      <c r="AQ68" s="34"/>
      <c r="AR68" s="34"/>
      <c r="AS68" s="34"/>
      <c r="AT68" s="34"/>
      <c r="AU68" s="34"/>
      <c r="AV68" s="37"/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1</v>
      </c>
      <c r="BC68" s="14">
        <v>0</v>
      </c>
      <c r="BD68" s="14">
        <v>0</v>
      </c>
      <c r="BE68" s="36"/>
      <c r="BF68" s="34"/>
      <c r="BG68" s="34"/>
      <c r="BH68" s="34"/>
      <c r="BI68" s="34"/>
      <c r="BJ68" s="34"/>
      <c r="BK68" s="34"/>
      <c r="BL68" s="37"/>
      <c r="BO68" s="14">
        <v>0</v>
      </c>
      <c r="BP68" s="14">
        <v>1</v>
      </c>
      <c r="BQ68" s="14">
        <v>0</v>
      </c>
      <c r="BR68" s="14">
        <v>0</v>
      </c>
      <c r="BS68" s="14">
        <v>0</v>
      </c>
      <c r="BT68" s="14">
        <v>1</v>
      </c>
      <c r="BU68" s="14">
        <v>0</v>
      </c>
      <c r="BV68" s="14">
        <v>0</v>
      </c>
      <c r="BW68" s="36"/>
      <c r="BX68" s="34"/>
      <c r="BY68" s="34"/>
      <c r="BZ68" s="34"/>
      <c r="CA68" s="34"/>
      <c r="CB68" s="34"/>
      <c r="CC68" s="34"/>
      <c r="CD68" s="34"/>
      <c r="CE68" s="14">
        <v>0</v>
      </c>
      <c r="CF68" s="14">
        <v>1</v>
      </c>
      <c r="CG68" s="14">
        <v>0</v>
      </c>
      <c r="CH68" s="14">
        <v>0</v>
      </c>
      <c r="CI68" s="14">
        <v>0</v>
      </c>
      <c r="CJ68" s="14">
        <v>1</v>
      </c>
      <c r="CK68" s="14">
        <v>0</v>
      </c>
      <c r="CL68" s="14">
        <v>0</v>
      </c>
      <c r="CM68" s="36"/>
      <c r="CN68" s="34"/>
      <c r="CO68" s="34"/>
      <c r="CP68" s="34"/>
      <c r="CQ68" s="34"/>
      <c r="CR68" s="34"/>
      <c r="CS68" s="34"/>
      <c r="CT68" s="37"/>
    </row>
    <row r="69" spans="1:98" x14ac:dyDescent="0.25">
      <c r="A69" s="14">
        <v>0</v>
      </c>
      <c r="B69" s="14">
        <v>0</v>
      </c>
      <c r="C69" s="14">
        <v>1</v>
      </c>
      <c r="D69" s="14">
        <v>1</v>
      </c>
      <c r="E69" s="14">
        <v>1</v>
      </c>
      <c r="F69" s="14">
        <v>0</v>
      </c>
      <c r="G69" s="14">
        <v>0</v>
      </c>
      <c r="H69" s="14">
        <v>0</v>
      </c>
      <c r="I69" s="40" t="s">
        <v>26</v>
      </c>
      <c r="J69" s="41"/>
      <c r="K69" s="41"/>
      <c r="L69" s="41"/>
      <c r="M69" s="41"/>
      <c r="N69" s="41"/>
      <c r="O69" s="41"/>
      <c r="P69" s="43"/>
      <c r="Q69" s="14">
        <v>0</v>
      </c>
      <c r="R69" s="14">
        <v>1</v>
      </c>
      <c r="S69" s="14">
        <v>1</v>
      </c>
      <c r="T69" s="14">
        <v>1</v>
      </c>
      <c r="U69" s="14">
        <v>0</v>
      </c>
      <c r="V69" s="14">
        <v>0</v>
      </c>
      <c r="W69" s="14">
        <v>1</v>
      </c>
      <c r="X69" s="14">
        <v>0</v>
      </c>
      <c r="Y69" s="40" t="s">
        <v>27</v>
      </c>
      <c r="Z69" s="41"/>
      <c r="AA69" s="41"/>
      <c r="AB69" s="41"/>
      <c r="AC69" s="41"/>
      <c r="AD69" s="41"/>
      <c r="AE69" s="41"/>
      <c r="AF69" s="43"/>
      <c r="AG69" s="14">
        <v>0</v>
      </c>
      <c r="AH69" s="14">
        <v>0</v>
      </c>
      <c r="AI69" s="14">
        <v>1</v>
      </c>
      <c r="AJ69" s="14">
        <v>1</v>
      </c>
      <c r="AK69" s="14">
        <v>1</v>
      </c>
      <c r="AL69" s="14">
        <v>0</v>
      </c>
      <c r="AM69" s="14">
        <v>0</v>
      </c>
      <c r="AN69" s="14">
        <v>0</v>
      </c>
      <c r="AO69" s="40" t="s">
        <v>28</v>
      </c>
      <c r="AP69" s="41"/>
      <c r="AQ69" s="41"/>
      <c r="AR69" s="41"/>
      <c r="AS69" s="41"/>
      <c r="AT69" s="41"/>
      <c r="AU69" s="41"/>
      <c r="AV69" s="43"/>
      <c r="AW69" s="14">
        <v>0</v>
      </c>
      <c r="AX69" s="14">
        <v>0</v>
      </c>
      <c r="AY69" s="14">
        <v>1</v>
      </c>
      <c r="AZ69" s="14">
        <v>1</v>
      </c>
      <c r="BA69" s="14">
        <v>1</v>
      </c>
      <c r="BB69" s="14">
        <v>1</v>
      </c>
      <c r="BC69" s="14">
        <v>0</v>
      </c>
      <c r="BD69" s="14">
        <v>0</v>
      </c>
      <c r="BE69" s="40" t="s">
        <v>29</v>
      </c>
      <c r="BF69" s="41"/>
      <c r="BG69" s="41"/>
      <c r="BH69" s="41"/>
      <c r="BI69" s="41"/>
      <c r="BJ69" s="41"/>
      <c r="BK69" s="41"/>
      <c r="BL69" s="43"/>
      <c r="BO69" s="14">
        <v>0</v>
      </c>
      <c r="BP69" s="14">
        <v>1</v>
      </c>
      <c r="BQ69" s="14">
        <v>0</v>
      </c>
      <c r="BR69" s="14">
        <v>0</v>
      </c>
      <c r="BS69" s="14">
        <v>0</v>
      </c>
      <c r="BT69" s="14">
        <v>1</v>
      </c>
      <c r="BU69" s="14">
        <v>0</v>
      </c>
      <c r="BV69" s="14">
        <v>0</v>
      </c>
      <c r="BW69" s="40" t="s">
        <v>68</v>
      </c>
      <c r="BX69" s="41"/>
      <c r="BY69" s="41"/>
      <c r="BZ69" s="41"/>
      <c r="CA69" s="41"/>
      <c r="CB69" s="41"/>
      <c r="CC69" s="41"/>
      <c r="CD69" s="42"/>
      <c r="CE69" s="14">
        <v>0</v>
      </c>
      <c r="CF69" s="14">
        <v>1</v>
      </c>
      <c r="CG69" s="14">
        <v>1</v>
      </c>
      <c r="CH69" s="14">
        <v>1</v>
      </c>
      <c r="CI69" s="14">
        <v>1</v>
      </c>
      <c r="CJ69" s="14">
        <v>0</v>
      </c>
      <c r="CK69" s="14">
        <v>0</v>
      </c>
      <c r="CL69" s="14">
        <v>0</v>
      </c>
      <c r="CM69" s="40" t="s">
        <v>69</v>
      </c>
      <c r="CN69" s="41"/>
      <c r="CO69" s="41"/>
      <c r="CP69" s="41"/>
      <c r="CQ69" s="41"/>
      <c r="CR69" s="41"/>
      <c r="CS69" s="41"/>
      <c r="CT69" s="43"/>
    </row>
    <row r="70" spans="1:98" ht="15" customHeight="1" x14ac:dyDescent="0.25">
      <c r="A70" s="14">
        <v>0</v>
      </c>
      <c r="B70" s="14">
        <v>0</v>
      </c>
      <c r="C70" s="14">
        <v>1</v>
      </c>
      <c r="D70" s="14">
        <v>0</v>
      </c>
      <c r="E70" s="14">
        <v>0</v>
      </c>
      <c r="F70" s="14">
        <v>1</v>
      </c>
      <c r="G70" s="14">
        <v>0</v>
      </c>
      <c r="H70" s="14">
        <v>0</v>
      </c>
      <c r="I70" s="33" t="str">
        <f>"{{"&amp;I67&amp;"}"&amp;", "&amp;$I$1&amp;"},  //"&amp;I69&amp;":"&amp;M65&amp;":"&amp;O65</f>
        <v>{{0x0, 0x1, 0x7F, 0x48, 0x48, 0x30, 0x0, 0x0}, 8},  //Ъ:208:170</v>
      </c>
      <c r="J70" s="34"/>
      <c r="K70" s="34"/>
      <c r="L70" s="34"/>
      <c r="M70" s="34"/>
      <c r="N70" s="34"/>
      <c r="O70" s="34"/>
      <c r="P70" s="35"/>
      <c r="Q70" s="14">
        <v>0</v>
      </c>
      <c r="R70" s="14">
        <v>1</v>
      </c>
      <c r="S70" s="14">
        <v>0</v>
      </c>
      <c r="T70" s="14">
        <v>0</v>
      </c>
      <c r="U70" s="14">
        <v>1</v>
      </c>
      <c r="V70" s="14">
        <v>0</v>
      </c>
      <c r="W70" s="14">
        <v>1</v>
      </c>
      <c r="X70" s="14">
        <v>0</v>
      </c>
      <c r="Y70" s="33" t="str">
        <f>"{{"&amp;Y67&amp;"}"&amp;", "&amp;$I$1&amp;"},  //"&amp;Y69&amp;":"&amp;AC65&amp;":"&amp;AE65</f>
        <v>{{0x0, 0x7F, 0x48, 0x48, 0x30, 0x0, 0x7F, 0x0}, 8},  //Ы:208:171</v>
      </c>
      <c r="Z70" s="34"/>
      <c r="AA70" s="34"/>
      <c r="AB70" s="34"/>
      <c r="AC70" s="34"/>
      <c r="AD70" s="34"/>
      <c r="AE70" s="34"/>
      <c r="AF70" s="35"/>
      <c r="AG70" s="14">
        <v>0</v>
      </c>
      <c r="AH70" s="14">
        <v>0</v>
      </c>
      <c r="AI70" s="14">
        <v>1</v>
      </c>
      <c r="AJ70" s="14">
        <v>0</v>
      </c>
      <c r="AK70" s="14">
        <v>0</v>
      </c>
      <c r="AL70" s="14">
        <v>1</v>
      </c>
      <c r="AM70" s="14">
        <v>0</v>
      </c>
      <c r="AN70" s="14">
        <v>0</v>
      </c>
      <c r="AO70" s="33" t="str">
        <f>"{{"&amp;AO67&amp;"}"&amp;", "&amp;$I$1&amp;"},  //"&amp;AO69&amp;":"&amp;AS65&amp;":"&amp;AU65</f>
        <v>{{0x0, 0x0, 0x7F, 0x48, 0x48, 0x30, 0x0, 0x0}, 8},  //Ь:208:172</v>
      </c>
      <c r="AP70" s="34"/>
      <c r="AQ70" s="34"/>
      <c r="AR70" s="34"/>
      <c r="AS70" s="34"/>
      <c r="AT70" s="34"/>
      <c r="AU70" s="34"/>
      <c r="AV70" s="35"/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1</v>
      </c>
      <c r="BC70" s="14">
        <v>0</v>
      </c>
      <c r="BD70" s="14">
        <v>0</v>
      </c>
      <c r="BE70" s="33" t="str">
        <f>"{{"&amp;BE67&amp;"}"&amp;", "&amp;$I$1&amp;"},  //"&amp;BE69&amp;":"&amp;BI65&amp;":"&amp;BK65</f>
        <v>{{0x0, 0x22, 0x49, 0x49, 0x49, 0x3E, 0x0, 0x0}, 8},  //Э:208:173</v>
      </c>
      <c r="BF70" s="34"/>
      <c r="BG70" s="34"/>
      <c r="BH70" s="34"/>
      <c r="BI70" s="34"/>
      <c r="BJ70" s="34"/>
      <c r="BK70" s="34"/>
      <c r="BL70" s="35"/>
      <c r="BO70" s="14">
        <v>0</v>
      </c>
      <c r="BP70" s="14">
        <v>1</v>
      </c>
      <c r="BQ70" s="14">
        <v>0</v>
      </c>
      <c r="BR70" s="14">
        <v>0</v>
      </c>
      <c r="BS70" s="14">
        <v>0</v>
      </c>
      <c r="BT70" s="14">
        <v>1</v>
      </c>
      <c r="BU70" s="14">
        <v>0</v>
      </c>
      <c r="BV70" s="14">
        <v>0</v>
      </c>
      <c r="BW70" s="33" t="str">
        <f>"{{"&amp;BW67&amp;"}"&amp;", "&amp;$I$1&amp;"},  //"&amp;BW69&amp;":"&amp;CA65&amp;":"&amp;CC65</f>
        <v>{{0x0, 0x3E, 0x41, 0x41, 0x41, 0x3E, 0x0, 0x0}, 8},  //O:0:79</v>
      </c>
      <c r="BX70" s="34"/>
      <c r="BY70" s="34"/>
      <c r="BZ70" s="34"/>
      <c r="CA70" s="34"/>
      <c r="CB70" s="34"/>
      <c r="CC70" s="34"/>
      <c r="CD70" s="35"/>
      <c r="CE70" s="14">
        <v>0</v>
      </c>
      <c r="CF70" s="14">
        <v>1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33" t="str">
        <f>"{{"&amp;CM67&amp;"}"&amp;", "&amp;$I$1&amp;"},  //"&amp;CM69&amp;":"&amp;CQ65&amp;":"&amp;CS65</f>
        <v>{{0x0, 0x7F, 0x9, 0x9, 0x9, 0x6, 0x0, 0x0}, 8},  //P:0:80</v>
      </c>
      <c r="CN70" s="34"/>
      <c r="CO70" s="34"/>
      <c r="CP70" s="34"/>
      <c r="CQ70" s="34"/>
      <c r="CR70" s="34"/>
      <c r="CS70" s="34"/>
      <c r="CT70" s="35"/>
    </row>
    <row r="71" spans="1:98" x14ac:dyDescent="0.25">
      <c r="A71" s="14">
        <v>0</v>
      </c>
      <c r="B71" s="14">
        <v>0</v>
      </c>
      <c r="C71" s="14">
        <v>1</v>
      </c>
      <c r="D71" s="14">
        <v>0</v>
      </c>
      <c r="E71" s="14">
        <v>0</v>
      </c>
      <c r="F71" s="14">
        <v>1</v>
      </c>
      <c r="G71" s="14">
        <v>0</v>
      </c>
      <c r="H71" s="14">
        <v>0</v>
      </c>
      <c r="I71" s="33"/>
      <c r="J71" s="34"/>
      <c r="K71" s="34"/>
      <c r="L71" s="34"/>
      <c r="M71" s="34"/>
      <c r="N71" s="34"/>
      <c r="O71" s="34"/>
      <c r="P71" s="35"/>
      <c r="Q71" s="14">
        <v>0</v>
      </c>
      <c r="R71" s="14">
        <v>1</v>
      </c>
      <c r="S71" s="14">
        <v>0</v>
      </c>
      <c r="T71" s="14">
        <v>0</v>
      </c>
      <c r="U71" s="14">
        <v>1</v>
      </c>
      <c r="V71" s="14">
        <v>0</v>
      </c>
      <c r="W71" s="14">
        <v>1</v>
      </c>
      <c r="X71" s="14">
        <v>0</v>
      </c>
      <c r="Y71" s="33"/>
      <c r="Z71" s="34"/>
      <c r="AA71" s="34"/>
      <c r="AB71" s="34"/>
      <c r="AC71" s="34"/>
      <c r="AD71" s="34"/>
      <c r="AE71" s="34"/>
      <c r="AF71" s="35"/>
      <c r="AG71" s="14">
        <v>0</v>
      </c>
      <c r="AH71" s="14">
        <v>0</v>
      </c>
      <c r="AI71" s="14">
        <v>1</v>
      </c>
      <c r="AJ71" s="14">
        <v>0</v>
      </c>
      <c r="AK71" s="14">
        <v>0</v>
      </c>
      <c r="AL71" s="14">
        <v>1</v>
      </c>
      <c r="AM71" s="14">
        <v>0</v>
      </c>
      <c r="AN71" s="14">
        <v>0</v>
      </c>
      <c r="AO71" s="33"/>
      <c r="AP71" s="34"/>
      <c r="AQ71" s="34"/>
      <c r="AR71" s="34"/>
      <c r="AS71" s="34"/>
      <c r="AT71" s="34"/>
      <c r="AU71" s="34"/>
      <c r="AV71" s="35"/>
      <c r="AW71" s="14">
        <v>0</v>
      </c>
      <c r="AX71" s="14">
        <v>1</v>
      </c>
      <c r="AY71" s="14">
        <v>0</v>
      </c>
      <c r="AZ71" s="14">
        <v>0</v>
      </c>
      <c r="BA71" s="14">
        <v>0</v>
      </c>
      <c r="BB71" s="14">
        <v>1</v>
      </c>
      <c r="BC71" s="14">
        <v>0</v>
      </c>
      <c r="BD71" s="14">
        <v>0</v>
      </c>
      <c r="BE71" s="33"/>
      <c r="BF71" s="34"/>
      <c r="BG71" s="34"/>
      <c r="BH71" s="34"/>
      <c r="BI71" s="34"/>
      <c r="BJ71" s="34"/>
      <c r="BK71" s="34"/>
      <c r="BL71" s="35"/>
      <c r="BO71" s="14">
        <v>0</v>
      </c>
      <c r="BP71" s="14">
        <v>1</v>
      </c>
      <c r="BQ71" s="14">
        <v>0</v>
      </c>
      <c r="BR71" s="14">
        <v>0</v>
      </c>
      <c r="BS71" s="14">
        <v>0</v>
      </c>
      <c r="BT71" s="14">
        <v>1</v>
      </c>
      <c r="BU71" s="14">
        <v>0</v>
      </c>
      <c r="BV71" s="14">
        <v>0</v>
      </c>
      <c r="BW71" s="33"/>
      <c r="BX71" s="34"/>
      <c r="BY71" s="34"/>
      <c r="BZ71" s="34"/>
      <c r="CA71" s="34"/>
      <c r="CB71" s="34"/>
      <c r="CC71" s="34"/>
      <c r="CD71" s="35"/>
      <c r="CE71" s="14">
        <v>0</v>
      </c>
      <c r="CF71" s="14">
        <v>1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33"/>
      <c r="CN71" s="34"/>
      <c r="CO71" s="34"/>
      <c r="CP71" s="34"/>
      <c r="CQ71" s="34"/>
      <c r="CR71" s="34"/>
      <c r="CS71" s="34"/>
      <c r="CT71" s="35"/>
    </row>
    <row r="72" spans="1:98" x14ac:dyDescent="0.25">
      <c r="A72" s="14">
        <v>0</v>
      </c>
      <c r="B72" s="14">
        <v>0</v>
      </c>
      <c r="C72" s="14">
        <v>1</v>
      </c>
      <c r="D72" s="14">
        <v>1</v>
      </c>
      <c r="E72" s="14">
        <v>1</v>
      </c>
      <c r="F72" s="14">
        <v>0</v>
      </c>
      <c r="G72" s="14">
        <v>0</v>
      </c>
      <c r="H72" s="14">
        <v>0</v>
      </c>
      <c r="I72" s="40" t="s">
        <v>48</v>
      </c>
      <c r="J72" s="41"/>
      <c r="K72" s="41"/>
      <c r="L72" s="41"/>
      <c r="M72" s="44">
        <v>209</v>
      </c>
      <c r="N72" s="44"/>
      <c r="O72" s="44">
        <v>138</v>
      </c>
      <c r="P72" s="45"/>
      <c r="Q72" s="14">
        <v>0</v>
      </c>
      <c r="R72" s="14">
        <v>1</v>
      </c>
      <c r="S72" s="14">
        <v>1</v>
      </c>
      <c r="T72" s="14">
        <v>1</v>
      </c>
      <c r="U72" s="14">
        <v>0</v>
      </c>
      <c r="V72" s="14">
        <v>0</v>
      </c>
      <c r="W72" s="14">
        <v>1</v>
      </c>
      <c r="X72" s="14">
        <v>0</v>
      </c>
      <c r="Y72" s="40" t="s">
        <v>48</v>
      </c>
      <c r="Z72" s="41"/>
      <c r="AA72" s="41"/>
      <c r="AB72" s="41"/>
      <c r="AC72" s="44">
        <v>209</v>
      </c>
      <c r="AD72" s="44"/>
      <c r="AE72" s="44">
        <v>139</v>
      </c>
      <c r="AF72" s="45"/>
      <c r="AG72" s="14">
        <v>0</v>
      </c>
      <c r="AH72" s="14">
        <v>0</v>
      </c>
      <c r="AI72" s="14">
        <v>1</v>
      </c>
      <c r="AJ72" s="14">
        <v>1</v>
      </c>
      <c r="AK72" s="14">
        <v>1</v>
      </c>
      <c r="AL72" s="14">
        <v>0</v>
      </c>
      <c r="AM72" s="14">
        <v>0</v>
      </c>
      <c r="AN72" s="14">
        <v>0</v>
      </c>
      <c r="AO72" s="40" t="s">
        <v>48</v>
      </c>
      <c r="AP72" s="41"/>
      <c r="AQ72" s="41"/>
      <c r="AR72" s="41"/>
      <c r="AS72" s="44">
        <v>209</v>
      </c>
      <c r="AT72" s="44"/>
      <c r="AU72" s="44">
        <v>140</v>
      </c>
      <c r="AV72" s="45"/>
      <c r="AW72" s="14">
        <v>0</v>
      </c>
      <c r="AX72" s="14">
        <v>0</v>
      </c>
      <c r="AY72" s="14">
        <v>1</v>
      </c>
      <c r="AZ72" s="14">
        <v>1</v>
      </c>
      <c r="BA72" s="14">
        <v>1</v>
      </c>
      <c r="BB72" s="14">
        <v>0</v>
      </c>
      <c r="BC72" s="14">
        <v>0</v>
      </c>
      <c r="BD72" s="14">
        <v>0</v>
      </c>
      <c r="BE72" s="40" t="s">
        <v>48</v>
      </c>
      <c r="BF72" s="41"/>
      <c r="BG72" s="41"/>
      <c r="BH72" s="41"/>
      <c r="BI72" s="44">
        <v>209</v>
      </c>
      <c r="BJ72" s="44"/>
      <c r="BK72" s="44">
        <v>141</v>
      </c>
      <c r="BL72" s="45"/>
      <c r="BO72" s="14">
        <v>0</v>
      </c>
      <c r="BP72" s="14">
        <v>0</v>
      </c>
      <c r="BQ72" s="14">
        <v>1</v>
      </c>
      <c r="BR72" s="14">
        <v>1</v>
      </c>
      <c r="BS72" s="14">
        <v>1</v>
      </c>
      <c r="BT72" s="14">
        <v>0</v>
      </c>
      <c r="BU72" s="14">
        <v>0</v>
      </c>
      <c r="BV72" s="14">
        <v>0</v>
      </c>
      <c r="BW72" s="40" t="s">
        <v>48</v>
      </c>
      <c r="BX72" s="41"/>
      <c r="BY72" s="41"/>
      <c r="BZ72" s="41"/>
      <c r="CA72" s="44"/>
      <c r="CB72" s="44"/>
      <c r="CC72" s="44"/>
      <c r="CD72" s="45"/>
      <c r="CE72" s="14">
        <v>0</v>
      </c>
      <c r="CF72" s="14">
        <v>1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40" t="s">
        <v>48</v>
      </c>
      <c r="CN72" s="41"/>
      <c r="CO72" s="41"/>
      <c r="CP72" s="41"/>
      <c r="CQ72" s="44"/>
      <c r="CR72" s="44"/>
      <c r="CS72" s="44"/>
      <c r="CT72" s="45"/>
    </row>
    <row r="73" spans="1:98" x14ac:dyDescent="0.25">
      <c r="A73" s="15">
        <v>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2"/>
      <c r="J73" s="12"/>
      <c r="K73" s="12"/>
      <c r="L73" s="12"/>
      <c r="M73" s="12"/>
      <c r="N73" s="12"/>
      <c r="O73" s="12"/>
      <c r="P73" s="13"/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2"/>
      <c r="Z73" s="12"/>
      <c r="AA73" s="12"/>
      <c r="AB73" s="12"/>
      <c r="AC73" s="12"/>
      <c r="AD73" s="12"/>
      <c r="AE73" s="12"/>
      <c r="AF73" s="13"/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2"/>
      <c r="AP73" s="12"/>
      <c r="AQ73" s="12"/>
      <c r="AR73" s="12"/>
      <c r="AS73" s="12"/>
      <c r="AT73" s="12"/>
      <c r="AU73" s="12"/>
      <c r="AV73" s="13"/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2"/>
      <c r="BF73" s="12"/>
      <c r="BG73" s="12"/>
      <c r="BH73" s="12"/>
      <c r="BI73" s="12"/>
      <c r="BJ73" s="12"/>
      <c r="BK73" s="12"/>
      <c r="BL73" s="12"/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2"/>
      <c r="BX73" s="12"/>
      <c r="BY73" s="12"/>
      <c r="BZ73" s="12"/>
      <c r="CA73" s="12"/>
      <c r="CB73" s="12"/>
      <c r="CC73" s="12"/>
      <c r="CD73" s="12"/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15">
        <v>0</v>
      </c>
      <c r="CK73" s="15">
        <v>0</v>
      </c>
      <c r="CL73" s="15">
        <v>0</v>
      </c>
      <c r="CM73" s="12"/>
      <c r="CN73" s="12"/>
      <c r="CO73" s="12"/>
      <c r="CP73" s="12"/>
      <c r="CQ73" s="12"/>
      <c r="CR73" s="12"/>
      <c r="CS73" s="12"/>
      <c r="CT73" s="13"/>
    </row>
    <row r="74" spans="1:98" s="5" customFormat="1" x14ac:dyDescent="0.25">
      <c r="A74" s="10">
        <v>1</v>
      </c>
      <c r="B74" s="10">
        <v>2</v>
      </c>
      <c r="C74" s="10">
        <v>3</v>
      </c>
      <c r="D74" s="10">
        <v>4</v>
      </c>
      <c r="E74" s="10">
        <v>5</v>
      </c>
      <c r="F74" s="10">
        <v>6</v>
      </c>
      <c r="G74" s="10">
        <v>7</v>
      </c>
      <c r="H74" s="10">
        <v>8</v>
      </c>
      <c r="I74" s="38" t="s">
        <v>0</v>
      </c>
      <c r="J74" s="38"/>
      <c r="K74" s="38"/>
      <c r="L74" s="38"/>
      <c r="M74" s="39">
        <v>208</v>
      </c>
      <c r="N74" s="39"/>
      <c r="O74" s="39">
        <v>174</v>
      </c>
      <c r="P74" s="39"/>
      <c r="Q74" s="10">
        <v>1</v>
      </c>
      <c r="R74" s="10">
        <v>2</v>
      </c>
      <c r="S74" s="10">
        <v>3</v>
      </c>
      <c r="T74" s="10">
        <v>4</v>
      </c>
      <c r="U74" s="10">
        <v>5</v>
      </c>
      <c r="V74" s="10">
        <v>6</v>
      </c>
      <c r="W74" s="10">
        <v>7</v>
      </c>
      <c r="X74" s="10">
        <v>8</v>
      </c>
      <c r="Y74" s="38" t="s">
        <v>0</v>
      </c>
      <c r="Z74" s="38"/>
      <c r="AA74" s="38"/>
      <c r="AB74" s="38"/>
      <c r="AC74" s="39">
        <v>208</v>
      </c>
      <c r="AD74" s="39"/>
      <c r="AE74" s="39">
        <v>175</v>
      </c>
      <c r="AF74" s="39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22"/>
      <c r="BM74" s="20"/>
      <c r="BN74" s="20"/>
      <c r="BO74" s="10">
        <v>1</v>
      </c>
      <c r="BP74" s="10">
        <v>2</v>
      </c>
      <c r="BQ74" s="10">
        <v>3</v>
      </c>
      <c r="BR74" s="10">
        <v>4</v>
      </c>
      <c r="BS74" s="10">
        <v>5</v>
      </c>
      <c r="BT74" s="10">
        <v>6</v>
      </c>
      <c r="BU74" s="10">
        <v>7</v>
      </c>
      <c r="BV74" s="10">
        <v>8</v>
      </c>
      <c r="BW74" s="38" t="s">
        <v>0</v>
      </c>
      <c r="BX74" s="38"/>
      <c r="BY74" s="38"/>
      <c r="BZ74" s="38"/>
      <c r="CA74" s="39">
        <v>0</v>
      </c>
      <c r="CB74" s="39"/>
      <c r="CC74" s="39">
        <v>81</v>
      </c>
      <c r="CD74" s="39"/>
      <c r="CE74" s="10">
        <v>1</v>
      </c>
      <c r="CF74" s="10">
        <v>2</v>
      </c>
      <c r="CG74" s="10">
        <v>3</v>
      </c>
      <c r="CH74" s="10">
        <v>4</v>
      </c>
      <c r="CI74" s="10">
        <v>5</v>
      </c>
      <c r="CJ74" s="10">
        <v>6</v>
      </c>
      <c r="CK74" s="10">
        <v>7</v>
      </c>
      <c r="CL74" s="10">
        <v>8</v>
      </c>
      <c r="CM74" s="38" t="s">
        <v>0</v>
      </c>
      <c r="CN74" s="38"/>
      <c r="CO74" s="38"/>
      <c r="CP74" s="38"/>
      <c r="CQ74" s="39">
        <v>0</v>
      </c>
      <c r="CR74" s="39"/>
      <c r="CS74" s="39">
        <v>82</v>
      </c>
      <c r="CT74" s="39"/>
    </row>
    <row r="75" spans="1:98" ht="15" customHeight="1" x14ac:dyDescent="0.25">
      <c r="A75" s="11">
        <v>0</v>
      </c>
      <c r="B75" s="11">
        <v>1</v>
      </c>
      <c r="C75" s="11">
        <v>0</v>
      </c>
      <c r="D75" s="11">
        <v>0</v>
      </c>
      <c r="E75" s="11">
        <v>1</v>
      </c>
      <c r="F75" s="11">
        <v>1</v>
      </c>
      <c r="G75" s="11">
        <v>0</v>
      </c>
      <c r="H75" s="11">
        <v>0</v>
      </c>
      <c r="I75" s="12" t="str">
        <f>BIN2HEX(A82&amp;A81&amp;A80&amp;A79&amp;A78&amp;A77&amp;A76&amp;A75)</f>
        <v>0</v>
      </c>
      <c r="J75" s="12" t="str">
        <f t="shared" ref="J75" si="272">BIN2HEX(B82&amp;B81&amp;B80&amp;B79&amp;B78&amp;B77&amp;B76&amp;B75)</f>
        <v>7F</v>
      </c>
      <c r="K75" s="12" t="str">
        <f t="shared" ref="K75" si="273">BIN2HEX(C82&amp;C81&amp;C80&amp;C79&amp;C78&amp;C77&amp;C76&amp;C75)</f>
        <v>8</v>
      </c>
      <c r="L75" s="12" t="str">
        <f t="shared" ref="L75" si="274">BIN2HEX(D82&amp;D81&amp;D80&amp;D79&amp;D78&amp;D77&amp;D76&amp;D75)</f>
        <v>3E</v>
      </c>
      <c r="M75" s="12" t="str">
        <f t="shared" ref="M75" si="275">BIN2HEX(E82&amp;E81&amp;E80&amp;E79&amp;E78&amp;E77&amp;E76&amp;E75)</f>
        <v>41</v>
      </c>
      <c r="N75" s="12" t="str">
        <f t="shared" ref="N75" si="276">BIN2HEX(F82&amp;F81&amp;F80&amp;F79&amp;F78&amp;F77&amp;F76&amp;F75)</f>
        <v>41</v>
      </c>
      <c r="O75" s="12" t="str">
        <f t="shared" ref="O75" si="277">BIN2HEX(G82&amp;G81&amp;G80&amp;G79&amp;G78&amp;G77&amp;G76&amp;G75)</f>
        <v>3E</v>
      </c>
      <c r="P75" s="13" t="str">
        <f>BIN2HEX(H82&amp;H81&amp;H80&amp;H79&amp;H78&amp;H77&amp;H76&amp;H75)</f>
        <v>0</v>
      </c>
      <c r="Q75" s="11">
        <v>0</v>
      </c>
      <c r="R75" s="11">
        <v>0</v>
      </c>
      <c r="S75" s="11">
        <v>0</v>
      </c>
      <c r="T75" s="11">
        <v>1</v>
      </c>
      <c r="U75" s="11">
        <v>1</v>
      </c>
      <c r="V75" s="11">
        <v>1</v>
      </c>
      <c r="W75" s="11">
        <v>0</v>
      </c>
      <c r="X75" s="11">
        <v>0</v>
      </c>
      <c r="Y75" s="12" t="str">
        <f>BIN2HEX(Q82&amp;Q81&amp;Q80&amp;Q79&amp;Q78&amp;Q77&amp;Q76&amp;Q75)</f>
        <v>0</v>
      </c>
      <c r="Z75" s="12" t="str">
        <f t="shared" ref="Z75" si="278">BIN2HEX(R82&amp;R81&amp;R80&amp;R79&amp;R78&amp;R77&amp;R76&amp;R75)</f>
        <v>40</v>
      </c>
      <c r="AA75" s="12" t="str">
        <f t="shared" ref="AA75" si="279">BIN2HEX(S82&amp;S81&amp;S80&amp;S79&amp;S78&amp;S77&amp;S76&amp;S75)</f>
        <v>36</v>
      </c>
      <c r="AB75" s="12" t="str">
        <f t="shared" ref="AB75" si="280">BIN2HEX(T82&amp;T81&amp;T80&amp;T79&amp;T78&amp;T77&amp;T76&amp;T75)</f>
        <v>9</v>
      </c>
      <c r="AC75" s="12" t="str">
        <f t="shared" ref="AC75" si="281">BIN2HEX(U82&amp;U81&amp;U80&amp;U79&amp;U78&amp;U77&amp;U76&amp;U75)</f>
        <v>9</v>
      </c>
      <c r="AD75" s="12" t="str">
        <f t="shared" ref="AD75" si="282">BIN2HEX(V82&amp;V81&amp;V80&amp;V79&amp;V78&amp;V77&amp;V76&amp;V75)</f>
        <v>7F</v>
      </c>
      <c r="AE75" s="12" t="str">
        <f t="shared" ref="AE75" si="283">BIN2HEX(W82&amp;W81&amp;W80&amp;W79&amp;W78&amp;W77&amp;W76&amp;W75)</f>
        <v>0</v>
      </c>
      <c r="AF75" s="13" t="str">
        <f>BIN2HEX(X82&amp;X81&amp;X80&amp;X79&amp;X78&amp;X77&amp;X76&amp;X75)</f>
        <v>0</v>
      </c>
      <c r="AG75" s="55" t="str">
        <f xml:space="preserve"> AO7
&amp;CHAR(10)&amp;BE7
&amp;CHAR(10)&amp;I16
&amp;CHAR(10)&amp;Y16
&amp;CHAR(10)&amp;AO16
&amp;CHAR(10)&amp;BE16
&amp;CHAR(10)&amp;I25
&amp;CHAR(10)&amp;Y25
&amp;CHAR(10)&amp;AO25
&amp;CHAR(10)&amp;BE25
&amp;CHAR(10)&amp;I34
&amp;CHAR(10)&amp;Y34
&amp;CHAR(10)&amp;AO34
&amp;CHAR(10)&amp;BE34
&amp;CHAR(10)&amp;I43
&amp;CHAR(10)&amp;Y43
&amp;CHAR(10)&amp;AO43
&amp;CHAR(10)&amp;BE43
&amp;CHAR(10)&amp;I52
&amp;CHAR(10)&amp;Y52
&amp;CHAR(10)&amp;AO52
&amp;CHAR(10)&amp;BE52
&amp;CHAR(10)&amp;I61
&amp;CHAR(10)&amp;Y61
&amp;CHAR(10)&amp;AO61
&amp;CHAR(10)&amp;BE61
&amp;CHAR(10)&amp;I70
&amp;CHAR(10)&amp;Y70
&amp;CHAR(10)&amp;AO70
&amp;CHAR(10)&amp;BE70
&amp;CHAR(10)&amp;I79
&amp;CHAR(10)&amp;Y79</f>
        <v>{{0x0, 0x0, 0x7E, 0x11, 0x11, 0x7E, 0x0, 0x0}, 8},  //А:208:144
{{0x0, 0x0, 0x7E, 0x49, 0x49, 0x31, 0x0, 0x0}, 8},  //Б:208:145
{{0x0, 0x0, 0x7F, 0x49, 0x49, 0x36, 0x0, 0x0}, 8},  //В:208:146
{{0x0, 0x0, 0x7E, 0x1, 0x1, 0x1, 0x0, 0x0}, 8},  //Г:208:147
{{0x0, 0x60, 0x3E, 0x21, 0x21, 0x7F, 0x0, 0x0}, 8},  //Д:208:148
{{0x0, 0x3E, 0x49, 0x49, 0x49, 0x26, 0x0, 0x0}, 8},  //Е:208:149
{{0x0, 0x77, 0x8, 0x7F, 0x8, 0x77, 0x0, 0x0}, 8},  //Ж:208:150
{{0x0, 0x0, 0x49, 0x49, 0x49, 0x36, 0x0, 0x0}, 8},  //З:208:151
{{0x0, 0x7F, 0x20, 0x10, 0x8, 0x7F, 0x0, 0x0}, 8},  //И:208:152
{{0x0, 0x7C, 0x21, 0x11, 0x9, 0x7C, 0x0, 0x0}, 8},  //Й:208:153
{{0x0, 0x0, 0x7F, 0x8, 0x14, 0x63, 0x0, 0x0}, 8},  //К:208:154
{{0x0, 0x40, 0x3E, 0x1, 0x1, 0x7E, 0x0, 0x0}, 8},  //Л:208:155
{{0x0, 0x7F, 0x2, 0xC, 0x2, 0x7F, 0x0, 0x0}, 8},  //М:208:156
{{0x0, 0x7F, 0x8, 0x8, 0x8, 0x7F, 0x0, 0x0}, 8},  //Н:208:157
{{0x0, 0x3E, 0x41, 0x41, 0x41, 0x3E, 0x0, 0x0}, 8},  //О:208:158
{{0x0, 0x7F, 0x1, 0x1, 0x1, 0x7F, 0x0, 0x0}, 8},  //П:208:159
{{0x0, 0x7F, 0x9, 0x9, 0x9, 0x6, 0x0, 0x0}, 8},  //Р:208:160
{{0x0, 0x0, 0x3E, 0x41, 0x41, 0x41, 0x0, 0x0}, 8},  //С:208:161
{{0x0, 0x1, 0x1, 0x7F, 0x1, 0x1, 0x0, 0x0}, 8},  //Т:208:162
{{0x0, 0x27, 0x48, 0x48, 0x48, 0x3F, 0x0, 0x0}, 8},  //У:208:163
{{0x0, 0xE, 0x11, 0x7F, 0x11, 0xE, 0x0, 0x0}, 8},  //Ф:208:164
{{0x0, 0x63, 0x14, 0x8, 0x14, 0x63, 0x0, 0x0}, 8},  //Х:208:165
{{0x0, 0x7F, 0x40, 0x40, 0x7F, 0xC0, 0x0, 0x0}, 8},  //Ц:208:166
{{0x0, 0x0, 0x1F, 0x10, 0x10, 0x7F, 0x0, 0x0}, 8},  //Ч:208:167
{{0x0, 0x7F, 0x40, 0x7F, 0x40, 0x7F, 0x0, 0x0}, 8},  //Ш:208:168
{{0x0, 0x7F, 0x40, 0x7F, 0x40, 0x7F, 0xC0, 0x0}, 8},  //Щ:208:169
{{0x0, 0x1, 0x7F, 0x48, 0x48, 0x30, 0x0, 0x0}, 8},  //Ъ:208:170
{{0x0, 0x7F, 0x48, 0x48, 0x30, 0x0, 0x7F, 0x0}, 8},  //Ы:208:171
{{0x0, 0x0, 0x7F, 0x48, 0x48, 0x30, 0x0, 0x0}, 8},  //Ь:208:172
{{0x0, 0x22, 0x49, 0x49, 0x49, 0x3E, 0x0, 0x0}, 8},  //Э:208:173
{{0x0, 0x7F, 0x8, 0x3E, 0x41, 0x41, 0x3E, 0x0}, 8},  //Ю:208:174
{{0x0, 0x40, 0x36, 0x9, 0x9, 0x7F, 0x0, 0x0}, 8},  //Я:208:175</v>
      </c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O75" s="11">
        <v>0</v>
      </c>
      <c r="BP75" s="11">
        <v>0</v>
      </c>
      <c r="BQ75" s="11">
        <v>1</v>
      </c>
      <c r="BR75" s="11">
        <v>1</v>
      </c>
      <c r="BS75" s="11">
        <v>1</v>
      </c>
      <c r="BT75" s="11">
        <v>0</v>
      </c>
      <c r="BU75" s="11">
        <v>0</v>
      </c>
      <c r="BV75" s="11">
        <v>0</v>
      </c>
      <c r="BW75" s="12" t="str">
        <f>BIN2HEX(BO82&amp;BO81&amp;BO80&amp;BO79&amp;BO78&amp;BO77&amp;BO76&amp;BO75)</f>
        <v>0</v>
      </c>
      <c r="BX75" s="12" t="str">
        <f t="shared" ref="BX75" si="284">BIN2HEX(BP82&amp;BP81&amp;BP80&amp;BP79&amp;BP78&amp;BP77&amp;BP76&amp;BP75)</f>
        <v>3E</v>
      </c>
      <c r="BY75" s="12" t="str">
        <f t="shared" ref="BY75" si="285">BIN2HEX(BQ82&amp;BQ81&amp;BQ80&amp;BQ79&amp;BQ78&amp;BQ77&amp;BQ76&amp;BQ75)</f>
        <v>41</v>
      </c>
      <c r="BZ75" s="12" t="str">
        <f t="shared" ref="BZ75" si="286">BIN2HEX(BR82&amp;BR81&amp;BR80&amp;BR79&amp;BR78&amp;BR77&amp;BR76&amp;BR75)</f>
        <v>41</v>
      </c>
      <c r="CA75" s="12" t="str">
        <f t="shared" ref="CA75" si="287">BIN2HEX(BS82&amp;BS81&amp;BS80&amp;BS79&amp;BS78&amp;BS77&amp;BS76&amp;BS75)</f>
        <v>41</v>
      </c>
      <c r="CB75" s="12" t="str">
        <f t="shared" ref="CB75" si="288">BIN2HEX(BT82&amp;BT81&amp;BT80&amp;BT79&amp;BT78&amp;BT77&amp;BT76&amp;BT75)</f>
        <v>7E</v>
      </c>
      <c r="CC75" s="12" t="str">
        <f t="shared" ref="CC75" si="289">BIN2HEX(BU82&amp;BU81&amp;BU80&amp;BU79&amp;BU78&amp;BU77&amp;BU76&amp;BU75)</f>
        <v>40</v>
      </c>
      <c r="CD75" s="12" t="str">
        <f>BIN2HEX(BV82&amp;BV81&amp;BV80&amp;BV79&amp;BV78&amp;BV77&amp;BV76&amp;BV75)</f>
        <v>0</v>
      </c>
      <c r="CE75" s="11">
        <v>0</v>
      </c>
      <c r="CF75" s="11">
        <v>1</v>
      </c>
      <c r="CG75" s="11">
        <v>1</v>
      </c>
      <c r="CH75" s="11">
        <v>1</v>
      </c>
      <c r="CI75" s="11">
        <v>1</v>
      </c>
      <c r="CJ75" s="11">
        <v>0</v>
      </c>
      <c r="CK75" s="11">
        <v>0</v>
      </c>
      <c r="CL75" s="11">
        <v>0</v>
      </c>
      <c r="CM75" s="12" t="str">
        <f>BIN2HEX(CE82&amp;CE81&amp;CE80&amp;CE79&amp;CE78&amp;CE77&amp;CE76&amp;CE75)</f>
        <v>0</v>
      </c>
      <c r="CN75" s="12" t="str">
        <f t="shared" ref="CN75" si="290">BIN2HEX(CF82&amp;CF81&amp;CF80&amp;CF79&amp;CF78&amp;CF77&amp;CF76&amp;CF75)</f>
        <v>7F</v>
      </c>
      <c r="CO75" s="12" t="str">
        <f t="shared" ref="CO75" si="291">BIN2HEX(CG82&amp;CG81&amp;CG80&amp;CG79&amp;CG78&amp;CG77&amp;CG76&amp;CG75)</f>
        <v>9</v>
      </c>
      <c r="CP75" s="12" t="str">
        <f t="shared" ref="CP75" si="292">BIN2HEX(CH82&amp;CH81&amp;CH80&amp;CH79&amp;CH78&amp;CH77&amp;CH76&amp;CH75)</f>
        <v>19</v>
      </c>
      <c r="CQ75" s="12" t="str">
        <f t="shared" ref="CQ75" si="293">BIN2HEX(CI82&amp;CI81&amp;CI80&amp;CI79&amp;CI78&amp;CI77&amp;CI76&amp;CI75)</f>
        <v>29</v>
      </c>
      <c r="CR75" s="12" t="str">
        <f t="shared" ref="CR75" si="294">BIN2HEX(CJ82&amp;CJ81&amp;CJ80&amp;CJ79&amp;CJ78&amp;CJ77&amp;CJ76&amp;CJ75)</f>
        <v>46</v>
      </c>
      <c r="CS75" s="12" t="str">
        <f t="shared" ref="CS75" si="295">BIN2HEX(CK82&amp;CK81&amp;CK80&amp;CK79&amp;CK78&amp;CK77&amp;CK76&amp;CK75)</f>
        <v>0</v>
      </c>
      <c r="CT75" s="13" t="str">
        <f>BIN2HEX(CL82&amp;CL81&amp;CL80&amp;CL79&amp;CL78&amp;CL77&amp;CL76&amp;CL75)</f>
        <v>0</v>
      </c>
    </row>
    <row r="76" spans="1:98" ht="15" customHeight="1" x14ac:dyDescent="0.25">
      <c r="A76" s="14">
        <v>0</v>
      </c>
      <c r="B76" s="14">
        <v>1</v>
      </c>
      <c r="C76" s="14">
        <v>0</v>
      </c>
      <c r="D76" s="14">
        <v>1</v>
      </c>
      <c r="E76" s="14">
        <v>0</v>
      </c>
      <c r="F76" s="14">
        <v>0</v>
      </c>
      <c r="G76" s="14">
        <v>1</v>
      </c>
      <c r="H76" s="14">
        <v>0</v>
      </c>
      <c r="I76" s="36" t="str">
        <f>"0x"&amp;I75&amp;", 0x"&amp;J75&amp;", 0x"&amp;K75&amp;", 0x"&amp;L75&amp;", 0x"&amp;M75&amp;", 0x"&amp;N75&amp;", 0x"&amp;O75&amp;", 0x"&amp;P75</f>
        <v>0x0, 0x7F, 0x8, 0x3E, 0x41, 0x41, 0x3E, 0x0</v>
      </c>
      <c r="J76" s="34"/>
      <c r="K76" s="34"/>
      <c r="L76" s="34"/>
      <c r="M76" s="34"/>
      <c r="N76" s="34"/>
      <c r="O76" s="34"/>
      <c r="P76" s="37"/>
      <c r="Q76" s="14">
        <v>0</v>
      </c>
      <c r="R76" s="11">
        <v>0</v>
      </c>
      <c r="S76" s="14">
        <v>1</v>
      </c>
      <c r="T76" s="14">
        <v>0</v>
      </c>
      <c r="U76" s="14">
        <v>0</v>
      </c>
      <c r="V76" s="14">
        <v>1</v>
      </c>
      <c r="W76" s="14">
        <v>0</v>
      </c>
      <c r="X76" s="14">
        <v>0</v>
      </c>
      <c r="Y76" s="36" t="str">
        <f>"0x"&amp;Y75&amp;", 0x"&amp;Z75&amp;", 0x"&amp;AA75&amp;", 0x"&amp;AB75&amp;", 0x"&amp;AC75&amp;", 0x"&amp;AD75&amp;", 0x"&amp;AE75&amp;", 0x"&amp;AF75</f>
        <v>0x0, 0x40, 0x36, 0x9, 0x9, 0x7F, 0x0, 0x0</v>
      </c>
      <c r="Z76" s="34"/>
      <c r="AA76" s="34"/>
      <c r="AB76" s="34"/>
      <c r="AC76" s="34"/>
      <c r="AD76" s="34"/>
      <c r="AE76" s="34"/>
      <c r="AF76" s="37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O76" s="14">
        <v>0</v>
      </c>
      <c r="BP76" s="14">
        <v>1</v>
      </c>
      <c r="BQ76" s="14">
        <v>0</v>
      </c>
      <c r="BR76" s="14">
        <v>0</v>
      </c>
      <c r="BS76" s="14">
        <v>0</v>
      </c>
      <c r="BT76" s="14">
        <v>1</v>
      </c>
      <c r="BU76" s="14">
        <v>0</v>
      </c>
      <c r="BV76" s="14">
        <v>0</v>
      </c>
      <c r="BW76" s="36" t="str">
        <f>"0x"&amp;BW75&amp;", 0x"&amp;BX75&amp;", 0x"&amp;BY75&amp;", 0x"&amp;BZ75&amp;", 0x"&amp;CA75&amp;", 0x"&amp;CB75&amp;", 0x"&amp;CC75&amp;", 0x"&amp;CD75</f>
        <v>0x0, 0x3E, 0x41, 0x41, 0x41, 0x7E, 0x40, 0x0</v>
      </c>
      <c r="BX76" s="34"/>
      <c r="BY76" s="34"/>
      <c r="BZ76" s="34"/>
      <c r="CA76" s="34"/>
      <c r="CB76" s="34"/>
      <c r="CC76" s="34"/>
      <c r="CD76" s="34"/>
      <c r="CE76" s="14">
        <v>0</v>
      </c>
      <c r="CF76" s="14">
        <v>1</v>
      </c>
      <c r="CG76" s="14">
        <v>0</v>
      </c>
      <c r="CH76" s="14">
        <v>0</v>
      </c>
      <c r="CI76" s="14">
        <v>0</v>
      </c>
      <c r="CJ76" s="14">
        <v>1</v>
      </c>
      <c r="CK76" s="14">
        <v>0</v>
      </c>
      <c r="CL76" s="14">
        <v>0</v>
      </c>
      <c r="CM76" s="36" t="str">
        <f>"0x"&amp;CM75&amp;", 0x"&amp;CN75&amp;", 0x"&amp;CO75&amp;", 0x"&amp;CP75&amp;", 0x"&amp;CQ75&amp;", 0x"&amp;CR75&amp;", 0x"&amp;CS75&amp;", 0x"&amp;CT75</f>
        <v>0x0, 0x7F, 0x9, 0x19, 0x29, 0x46, 0x0, 0x0</v>
      </c>
      <c r="CN76" s="34"/>
      <c r="CO76" s="34"/>
      <c r="CP76" s="34"/>
      <c r="CQ76" s="34"/>
      <c r="CR76" s="34"/>
      <c r="CS76" s="34"/>
      <c r="CT76" s="37"/>
    </row>
    <row r="77" spans="1:98" x14ac:dyDescent="0.25">
      <c r="A77" s="14">
        <v>0</v>
      </c>
      <c r="B77" s="14">
        <v>1</v>
      </c>
      <c r="C77" s="14">
        <v>0</v>
      </c>
      <c r="D77" s="14">
        <v>1</v>
      </c>
      <c r="E77" s="14">
        <v>0</v>
      </c>
      <c r="F77" s="14">
        <v>0</v>
      </c>
      <c r="G77" s="14">
        <v>1</v>
      </c>
      <c r="H77" s="14">
        <v>0</v>
      </c>
      <c r="I77" s="36"/>
      <c r="J77" s="34"/>
      <c r="K77" s="34"/>
      <c r="L77" s="34"/>
      <c r="M77" s="34"/>
      <c r="N77" s="34"/>
      <c r="O77" s="34"/>
      <c r="P77" s="37"/>
      <c r="Q77" s="14">
        <v>0</v>
      </c>
      <c r="R77" s="11">
        <v>0</v>
      </c>
      <c r="S77" s="14">
        <v>1</v>
      </c>
      <c r="T77" s="14">
        <v>0</v>
      </c>
      <c r="U77" s="14">
        <v>0</v>
      </c>
      <c r="V77" s="14">
        <v>1</v>
      </c>
      <c r="W77" s="14">
        <v>0</v>
      </c>
      <c r="X77" s="14">
        <v>0</v>
      </c>
      <c r="Y77" s="36"/>
      <c r="Z77" s="34"/>
      <c r="AA77" s="34"/>
      <c r="AB77" s="34"/>
      <c r="AC77" s="34"/>
      <c r="AD77" s="34"/>
      <c r="AE77" s="34"/>
      <c r="AF77" s="37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O77" s="14">
        <v>0</v>
      </c>
      <c r="BP77" s="14">
        <v>1</v>
      </c>
      <c r="BQ77" s="14">
        <v>0</v>
      </c>
      <c r="BR77" s="14">
        <v>0</v>
      </c>
      <c r="BS77" s="14">
        <v>0</v>
      </c>
      <c r="BT77" s="14">
        <v>1</v>
      </c>
      <c r="BU77" s="14">
        <v>0</v>
      </c>
      <c r="BV77" s="14">
        <v>0</v>
      </c>
      <c r="BW77" s="36"/>
      <c r="BX77" s="34"/>
      <c r="BY77" s="34"/>
      <c r="BZ77" s="34"/>
      <c r="CA77" s="34"/>
      <c r="CB77" s="34"/>
      <c r="CC77" s="34"/>
      <c r="CD77" s="34"/>
      <c r="CE77" s="14">
        <v>0</v>
      </c>
      <c r="CF77" s="14">
        <v>1</v>
      </c>
      <c r="CG77" s="14">
        <v>0</v>
      </c>
      <c r="CH77" s="14">
        <v>0</v>
      </c>
      <c r="CI77" s="14">
        <v>0</v>
      </c>
      <c r="CJ77" s="14">
        <v>1</v>
      </c>
      <c r="CK77" s="14">
        <v>0</v>
      </c>
      <c r="CL77" s="14">
        <v>0</v>
      </c>
      <c r="CM77" s="36"/>
      <c r="CN77" s="34"/>
      <c r="CO77" s="34"/>
      <c r="CP77" s="34"/>
      <c r="CQ77" s="34"/>
      <c r="CR77" s="34"/>
      <c r="CS77" s="34"/>
      <c r="CT77" s="37"/>
    </row>
    <row r="78" spans="1:98" x14ac:dyDescent="0.25">
      <c r="A78" s="14">
        <v>0</v>
      </c>
      <c r="B78" s="14">
        <v>1</v>
      </c>
      <c r="C78" s="14">
        <v>1</v>
      </c>
      <c r="D78" s="14">
        <v>1</v>
      </c>
      <c r="E78" s="14">
        <v>0</v>
      </c>
      <c r="F78" s="14">
        <v>0</v>
      </c>
      <c r="G78" s="14">
        <v>1</v>
      </c>
      <c r="H78" s="14">
        <v>0</v>
      </c>
      <c r="I78" s="40" t="s">
        <v>30</v>
      </c>
      <c r="J78" s="41"/>
      <c r="K78" s="41"/>
      <c r="L78" s="41"/>
      <c r="M78" s="41"/>
      <c r="N78" s="41"/>
      <c r="O78" s="41"/>
      <c r="P78" s="43"/>
      <c r="Q78" s="14">
        <v>0</v>
      </c>
      <c r="R78" s="11">
        <v>0</v>
      </c>
      <c r="S78" s="14">
        <v>0</v>
      </c>
      <c r="T78" s="14">
        <v>1</v>
      </c>
      <c r="U78" s="14">
        <v>1</v>
      </c>
      <c r="V78" s="14">
        <v>1</v>
      </c>
      <c r="W78" s="14">
        <v>0</v>
      </c>
      <c r="X78" s="14">
        <v>0</v>
      </c>
      <c r="Y78" s="40" t="s">
        <v>31</v>
      </c>
      <c r="Z78" s="41"/>
      <c r="AA78" s="41"/>
      <c r="AB78" s="41"/>
      <c r="AC78" s="41"/>
      <c r="AD78" s="41"/>
      <c r="AE78" s="41"/>
      <c r="AF78" s="43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O78" s="14">
        <v>0</v>
      </c>
      <c r="BP78" s="14">
        <v>1</v>
      </c>
      <c r="BQ78" s="14">
        <v>0</v>
      </c>
      <c r="BR78" s="14">
        <v>0</v>
      </c>
      <c r="BS78" s="14">
        <v>0</v>
      </c>
      <c r="BT78" s="14">
        <v>1</v>
      </c>
      <c r="BU78" s="14">
        <v>0</v>
      </c>
      <c r="BV78" s="14">
        <v>0</v>
      </c>
      <c r="BW78" s="40" t="s">
        <v>70</v>
      </c>
      <c r="BX78" s="41"/>
      <c r="BY78" s="41"/>
      <c r="BZ78" s="41"/>
      <c r="CA78" s="41"/>
      <c r="CB78" s="41"/>
      <c r="CC78" s="41"/>
      <c r="CD78" s="42"/>
      <c r="CE78" s="14">
        <v>0</v>
      </c>
      <c r="CF78" s="14">
        <v>1</v>
      </c>
      <c r="CG78" s="14">
        <v>1</v>
      </c>
      <c r="CH78" s="14">
        <v>1</v>
      </c>
      <c r="CI78" s="14">
        <v>1</v>
      </c>
      <c r="CJ78" s="14">
        <v>0</v>
      </c>
      <c r="CK78" s="14">
        <v>0</v>
      </c>
      <c r="CL78" s="14">
        <v>0</v>
      </c>
      <c r="CM78" s="40" t="s">
        <v>71</v>
      </c>
      <c r="CN78" s="41"/>
      <c r="CO78" s="41"/>
      <c r="CP78" s="41"/>
      <c r="CQ78" s="41"/>
      <c r="CR78" s="41"/>
      <c r="CS78" s="41"/>
      <c r="CT78" s="43"/>
    </row>
    <row r="79" spans="1:98" ht="15" customHeight="1" x14ac:dyDescent="0.25">
      <c r="A79" s="14">
        <v>0</v>
      </c>
      <c r="B79" s="14">
        <v>1</v>
      </c>
      <c r="C79" s="14">
        <v>0</v>
      </c>
      <c r="D79" s="14">
        <v>1</v>
      </c>
      <c r="E79" s="14">
        <v>0</v>
      </c>
      <c r="F79" s="14">
        <v>0</v>
      </c>
      <c r="G79" s="14">
        <v>1</v>
      </c>
      <c r="H79" s="14">
        <v>0</v>
      </c>
      <c r="I79" s="33" t="str">
        <f>"{{"&amp;I76&amp;"}"&amp;", "&amp;$I$1&amp;"},  //"&amp;I78&amp;":"&amp;M74&amp;":"&amp;O74</f>
        <v>{{0x0, 0x7F, 0x8, 0x3E, 0x41, 0x41, 0x3E, 0x0}, 8},  //Ю:208:174</v>
      </c>
      <c r="J79" s="34"/>
      <c r="K79" s="34"/>
      <c r="L79" s="34"/>
      <c r="M79" s="34"/>
      <c r="N79" s="34"/>
      <c r="O79" s="34"/>
      <c r="P79" s="35"/>
      <c r="Q79" s="14">
        <v>0</v>
      </c>
      <c r="R79" s="11">
        <v>0</v>
      </c>
      <c r="S79" s="14">
        <v>1</v>
      </c>
      <c r="T79" s="14">
        <v>0</v>
      </c>
      <c r="U79" s="14">
        <v>0</v>
      </c>
      <c r="V79" s="14">
        <v>1</v>
      </c>
      <c r="W79" s="14">
        <v>0</v>
      </c>
      <c r="X79" s="14">
        <v>0</v>
      </c>
      <c r="Y79" s="33" t="str">
        <f>"{{"&amp;Y76&amp;"}"&amp;", "&amp;$I$1&amp;"},  //"&amp;Y78&amp;":"&amp;AC74&amp;":"&amp;AE74</f>
        <v>{{0x0, 0x40, 0x36, 0x9, 0x9, 0x7F, 0x0, 0x0}, 8},  //Я:208:175</v>
      </c>
      <c r="Z79" s="34"/>
      <c r="AA79" s="34"/>
      <c r="AB79" s="34"/>
      <c r="AC79" s="34"/>
      <c r="AD79" s="34"/>
      <c r="AE79" s="34"/>
      <c r="AF79" s="35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O79" s="14">
        <v>0</v>
      </c>
      <c r="BP79" s="14">
        <v>1</v>
      </c>
      <c r="BQ79" s="14">
        <v>0</v>
      </c>
      <c r="BR79" s="14">
        <v>0</v>
      </c>
      <c r="BS79" s="14">
        <v>0</v>
      </c>
      <c r="BT79" s="14">
        <v>1</v>
      </c>
      <c r="BU79" s="14">
        <v>0</v>
      </c>
      <c r="BV79" s="14">
        <v>0</v>
      </c>
      <c r="BW79" s="33" t="str">
        <f>"{{"&amp;BW76&amp;"}"&amp;", "&amp;$I$1&amp;"},  //"&amp;BW78&amp;":"&amp;CA74&amp;":"&amp;CC74</f>
        <v>{{0x0, 0x3E, 0x41, 0x41, 0x41, 0x7E, 0x40, 0x0}, 8},  //Q:0:81</v>
      </c>
      <c r="BX79" s="34"/>
      <c r="BY79" s="34"/>
      <c r="BZ79" s="34"/>
      <c r="CA79" s="34"/>
      <c r="CB79" s="34"/>
      <c r="CC79" s="34"/>
      <c r="CD79" s="35"/>
      <c r="CE79" s="14">
        <v>0</v>
      </c>
      <c r="CF79" s="14">
        <v>1</v>
      </c>
      <c r="CG79" s="14">
        <v>0</v>
      </c>
      <c r="CH79" s="14">
        <v>1</v>
      </c>
      <c r="CI79" s="14">
        <v>0</v>
      </c>
      <c r="CJ79" s="14">
        <v>0</v>
      </c>
      <c r="CK79" s="14">
        <v>0</v>
      </c>
      <c r="CL79" s="14">
        <v>0</v>
      </c>
      <c r="CM79" s="33" t="str">
        <f>"{{"&amp;CM76&amp;"}"&amp;", "&amp;$I$1&amp;"},  //"&amp;CM78&amp;":"&amp;CQ74&amp;":"&amp;CS74</f>
        <v>{{0x0, 0x7F, 0x9, 0x19, 0x29, 0x46, 0x0, 0x0}, 8},  //R:0:82</v>
      </c>
      <c r="CN79" s="34"/>
      <c r="CO79" s="34"/>
      <c r="CP79" s="34"/>
      <c r="CQ79" s="34"/>
      <c r="CR79" s="34"/>
      <c r="CS79" s="34"/>
      <c r="CT79" s="35"/>
    </row>
    <row r="80" spans="1:98" x14ac:dyDescent="0.25">
      <c r="A80" s="14">
        <v>0</v>
      </c>
      <c r="B80" s="14">
        <v>1</v>
      </c>
      <c r="C80" s="14">
        <v>0</v>
      </c>
      <c r="D80" s="14">
        <v>1</v>
      </c>
      <c r="E80" s="14">
        <v>0</v>
      </c>
      <c r="F80" s="14">
        <v>0</v>
      </c>
      <c r="G80" s="14">
        <v>1</v>
      </c>
      <c r="H80" s="14">
        <v>0</v>
      </c>
      <c r="I80" s="33"/>
      <c r="J80" s="34"/>
      <c r="K80" s="34"/>
      <c r="L80" s="34"/>
      <c r="M80" s="34"/>
      <c r="N80" s="34"/>
      <c r="O80" s="34"/>
      <c r="P80" s="35"/>
      <c r="Q80" s="14">
        <v>0</v>
      </c>
      <c r="R80" s="11">
        <v>0</v>
      </c>
      <c r="S80" s="14">
        <v>1</v>
      </c>
      <c r="T80" s="14">
        <v>0</v>
      </c>
      <c r="U80" s="14">
        <v>0</v>
      </c>
      <c r="V80" s="14">
        <v>1</v>
      </c>
      <c r="W80" s="14">
        <v>0</v>
      </c>
      <c r="X80" s="14">
        <v>0</v>
      </c>
      <c r="Y80" s="33"/>
      <c r="Z80" s="34"/>
      <c r="AA80" s="34"/>
      <c r="AB80" s="34"/>
      <c r="AC80" s="34"/>
      <c r="AD80" s="34"/>
      <c r="AE80" s="34"/>
      <c r="AF80" s="35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O80" s="14">
        <v>0</v>
      </c>
      <c r="BP80" s="14">
        <v>1</v>
      </c>
      <c r="BQ80" s="14">
        <v>0</v>
      </c>
      <c r="BR80" s="14">
        <v>0</v>
      </c>
      <c r="BS80" s="14">
        <v>0</v>
      </c>
      <c r="BT80" s="14">
        <v>1</v>
      </c>
      <c r="BU80" s="14">
        <v>0</v>
      </c>
      <c r="BV80" s="14">
        <v>0</v>
      </c>
      <c r="BW80" s="33"/>
      <c r="BX80" s="34"/>
      <c r="BY80" s="34"/>
      <c r="BZ80" s="34"/>
      <c r="CA80" s="34"/>
      <c r="CB80" s="34"/>
      <c r="CC80" s="34"/>
      <c r="CD80" s="35"/>
      <c r="CE80" s="14">
        <v>0</v>
      </c>
      <c r="CF80" s="14">
        <v>1</v>
      </c>
      <c r="CG80" s="14">
        <v>0</v>
      </c>
      <c r="CH80" s="14">
        <v>0</v>
      </c>
      <c r="CI80" s="14">
        <v>1</v>
      </c>
      <c r="CJ80" s="14">
        <v>0</v>
      </c>
      <c r="CK80" s="14">
        <v>0</v>
      </c>
      <c r="CL80" s="14">
        <v>0</v>
      </c>
      <c r="CM80" s="33"/>
      <c r="CN80" s="34"/>
      <c r="CO80" s="34"/>
      <c r="CP80" s="34"/>
      <c r="CQ80" s="34"/>
      <c r="CR80" s="34"/>
      <c r="CS80" s="34"/>
      <c r="CT80" s="35"/>
    </row>
    <row r="81" spans="1:98" x14ac:dyDescent="0.25">
      <c r="A81" s="14">
        <v>0</v>
      </c>
      <c r="B81" s="14">
        <v>1</v>
      </c>
      <c r="C81" s="14">
        <v>0</v>
      </c>
      <c r="D81" s="14">
        <v>0</v>
      </c>
      <c r="E81" s="14">
        <v>1</v>
      </c>
      <c r="F81" s="14">
        <v>1</v>
      </c>
      <c r="G81" s="14">
        <v>0</v>
      </c>
      <c r="H81" s="14">
        <v>0</v>
      </c>
      <c r="I81" s="40" t="s">
        <v>48</v>
      </c>
      <c r="J81" s="41"/>
      <c r="K81" s="41"/>
      <c r="L81" s="41"/>
      <c r="M81" s="44">
        <v>209</v>
      </c>
      <c r="N81" s="44"/>
      <c r="O81" s="44">
        <v>142</v>
      </c>
      <c r="P81" s="45"/>
      <c r="Q81" s="14">
        <v>0</v>
      </c>
      <c r="R81" s="11">
        <v>1</v>
      </c>
      <c r="S81" s="14">
        <v>0</v>
      </c>
      <c r="T81" s="14">
        <v>0</v>
      </c>
      <c r="U81" s="14">
        <v>0</v>
      </c>
      <c r="V81" s="14">
        <v>1</v>
      </c>
      <c r="W81" s="14">
        <v>0</v>
      </c>
      <c r="X81" s="14">
        <v>0</v>
      </c>
      <c r="Y81" s="40" t="s">
        <v>48</v>
      </c>
      <c r="Z81" s="41"/>
      <c r="AA81" s="41"/>
      <c r="AB81" s="41"/>
      <c r="AC81" s="44">
        <v>209</v>
      </c>
      <c r="AD81" s="44"/>
      <c r="AE81" s="44">
        <v>143</v>
      </c>
      <c r="AF81" s="45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O81" s="14">
        <v>0</v>
      </c>
      <c r="BP81" s="14">
        <v>0</v>
      </c>
      <c r="BQ81" s="14">
        <v>1</v>
      </c>
      <c r="BR81" s="14">
        <v>1</v>
      </c>
      <c r="BS81" s="14">
        <v>1</v>
      </c>
      <c r="BT81" s="14">
        <v>1</v>
      </c>
      <c r="BU81" s="14">
        <v>1</v>
      </c>
      <c r="BV81" s="14">
        <v>0</v>
      </c>
      <c r="BW81" s="40" t="s">
        <v>48</v>
      </c>
      <c r="BX81" s="41"/>
      <c r="BY81" s="41"/>
      <c r="BZ81" s="41"/>
      <c r="CA81" s="44"/>
      <c r="CB81" s="44"/>
      <c r="CC81" s="44"/>
      <c r="CD81" s="45"/>
      <c r="CE81" s="14">
        <v>0</v>
      </c>
      <c r="CF81" s="14">
        <v>1</v>
      </c>
      <c r="CG81" s="14">
        <v>0</v>
      </c>
      <c r="CH81" s="14">
        <v>0</v>
      </c>
      <c r="CI81" s="14">
        <v>0</v>
      </c>
      <c r="CJ81" s="14">
        <v>1</v>
      </c>
      <c r="CK81" s="14">
        <v>0</v>
      </c>
      <c r="CL81" s="14">
        <v>0</v>
      </c>
      <c r="CM81" s="40" t="s">
        <v>48</v>
      </c>
      <c r="CN81" s="41"/>
      <c r="CO81" s="41"/>
      <c r="CP81" s="41"/>
      <c r="CQ81" s="44"/>
      <c r="CR81" s="44"/>
      <c r="CS81" s="44"/>
      <c r="CT81" s="45"/>
    </row>
    <row r="82" spans="1:98" x14ac:dyDescent="0.25">
      <c r="A82" s="15">
        <v>0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2"/>
      <c r="J82" s="12"/>
      <c r="K82" s="12"/>
      <c r="L82" s="12"/>
      <c r="M82" s="12"/>
      <c r="N82" s="12"/>
      <c r="O82" s="12"/>
      <c r="P82" s="13"/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2"/>
      <c r="Z82" s="12"/>
      <c r="AA82" s="12"/>
      <c r="AB82" s="12"/>
      <c r="AC82" s="12"/>
      <c r="AD82" s="12"/>
      <c r="AE82" s="12"/>
      <c r="AF82" s="13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2"/>
      <c r="BX82" s="12"/>
      <c r="BY82" s="12"/>
      <c r="BZ82" s="12"/>
      <c r="CA82" s="12"/>
      <c r="CB82" s="12"/>
      <c r="CC82" s="12"/>
      <c r="CD82" s="12"/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2"/>
      <c r="CN82" s="12"/>
      <c r="CO82" s="12"/>
      <c r="CP82" s="12"/>
      <c r="CQ82" s="12"/>
      <c r="CR82" s="12"/>
      <c r="CS82" s="12"/>
      <c r="CT82" s="13"/>
    </row>
    <row r="83" spans="1:98" s="5" customFormat="1" x14ac:dyDescent="0.25">
      <c r="A83" s="10"/>
      <c r="B83" s="10"/>
      <c r="C83" s="10"/>
      <c r="D83" s="10"/>
      <c r="E83" s="10"/>
      <c r="F83" s="10"/>
      <c r="G83" s="10"/>
      <c r="H83" s="10"/>
      <c r="I83" s="14"/>
      <c r="J83" s="14"/>
      <c r="K83" s="14"/>
      <c r="L83" s="14"/>
      <c r="M83" s="14"/>
      <c r="N83" s="14"/>
      <c r="O83" s="14"/>
      <c r="P83" s="14"/>
      <c r="Q83" s="10"/>
      <c r="R83" s="10"/>
      <c r="S83" s="10"/>
      <c r="T83" s="10"/>
      <c r="U83" s="10"/>
      <c r="V83" s="10"/>
      <c r="W83" s="10"/>
      <c r="X83" s="10"/>
      <c r="Y83" s="14"/>
      <c r="Z83" s="14"/>
      <c r="AA83" s="14"/>
      <c r="AB83" s="14"/>
      <c r="AC83" s="14"/>
      <c r="AD83" s="14"/>
      <c r="AE83" s="14"/>
      <c r="AF83" s="1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20"/>
      <c r="BN83" s="20"/>
      <c r="BO83" s="7">
        <v>1</v>
      </c>
      <c r="BP83" s="7">
        <v>2</v>
      </c>
      <c r="BQ83" s="7">
        <v>3</v>
      </c>
      <c r="BR83" s="7">
        <v>4</v>
      </c>
      <c r="BS83" s="7">
        <v>5</v>
      </c>
      <c r="BT83" s="7">
        <v>6</v>
      </c>
      <c r="BU83" s="7">
        <v>7</v>
      </c>
      <c r="BV83" s="7">
        <v>8</v>
      </c>
      <c r="BW83" s="50" t="s">
        <v>0</v>
      </c>
      <c r="BX83" s="50"/>
      <c r="BY83" s="50"/>
      <c r="BZ83" s="50"/>
      <c r="CA83" s="49">
        <v>0</v>
      </c>
      <c r="CB83" s="49"/>
      <c r="CC83" s="49">
        <v>83</v>
      </c>
      <c r="CD83" s="49"/>
      <c r="CE83" s="10">
        <v>1</v>
      </c>
      <c r="CF83" s="10">
        <v>2</v>
      </c>
      <c r="CG83" s="10">
        <v>3</v>
      </c>
      <c r="CH83" s="10">
        <v>4</v>
      </c>
      <c r="CI83" s="10">
        <v>5</v>
      </c>
      <c r="CJ83" s="10">
        <v>6</v>
      </c>
      <c r="CK83" s="10">
        <v>7</v>
      </c>
      <c r="CL83" s="10">
        <v>8</v>
      </c>
      <c r="CM83" s="38" t="s">
        <v>0</v>
      </c>
      <c r="CN83" s="38"/>
      <c r="CO83" s="38"/>
      <c r="CP83" s="38"/>
      <c r="CQ83" s="39">
        <v>0</v>
      </c>
      <c r="CR83" s="39"/>
      <c r="CS83" s="39">
        <v>84</v>
      </c>
      <c r="CT83" s="39"/>
    </row>
    <row r="84" spans="1:98" x14ac:dyDescent="0.25">
      <c r="A84" s="11"/>
      <c r="B84" s="11"/>
      <c r="C84" s="11"/>
      <c r="D84" s="11"/>
      <c r="E84" s="11"/>
      <c r="F84" s="11"/>
      <c r="G84" s="11"/>
      <c r="H84" s="11"/>
      <c r="I84" s="12"/>
      <c r="J84" s="12"/>
      <c r="K84" s="12"/>
      <c r="L84" s="12"/>
      <c r="M84" s="12"/>
      <c r="N84" s="12"/>
      <c r="O84" s="12"/>
      <c r="P84" s="12"/>
      <c r="Q84" s="11"/>
      <c r="R84" s="11"/>
      <c r="S84" s="11"/>
      <c r="T84" s="11"/>
      <c r="U84" s="11"/>
      <c r="V84" s="11"/>
      <c r="W84" s="11"/>
      <c r="X84" s="11"/>
      <c r="Y84" s="12"/>
      <c r="Z84" s="12"/>
      <c r="AA84" s="12"/>
      <c r="AB84" s="12"/>
      <c r="AC84" s="12"/>
      <c r="AD84" s="12"/>
      <c r="AE84" s="12"/>
      <c r="AF84" s="13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O84" s="2">
        <v>0</v>
      </c>
      <c r="BP84" s="11">
        <v>0</v>
      </c>
      <c r="BQ84" s="11">
        <v>0</v>
      </c>
      <c r="BR84" s="11">
        <v>1</v>
      </c>
      <c r="BS84" s="11">
        <v>1</v>
      </c>
      <c r="BT84" s="11">
        <v>0</v>
      </c>
      <c r="BU84" s="11">
        <v>0</v>
      </c>
      <c r="BV84" s="11">
        <v>0</v>
      </c>
      <c r="BW84" s="4" t="str">
        <f>BIN2HEX(BO91&amp;BO90&amp;BO89&amp;BO88&amp;BO87&amp;BO86&amp;BO85&amp;BO84)</f>
        <v>0</v>
      </c>
      <c r="BX84" s="4" t="str">
        <f t="shared" ref="BX84" si="296">BIN2HEX(BP91&amp;BP90&amp;BP89&amp;BP88&amp;BP87&amp;BP86&amp;BP85&amp;BP84)</f>
        <v>0</v>
      </c>
      <c r="BY84" s="4" t="str">
        <f t="shared" ref="BY84" si="297">BIN2HEX(BQ91&amp;BQ90&amp;BQ89&amp;BQ88&amp;BQ87&amp;BQ86&amp;BQ85&amp;BQ84)</f>
        <v>26</v>
      </c>
      <c r="BZ84" s="4" t="str">
        <f t="shared" ref="BZ84" si="298">BIN2HEX(BR91&amp;BR90&amp;BR89&amp;BR88&amp;BR87&amp;BR86&amp;BR85&amp;BR84)</f>
        <v>49</v>
      </c>
      <c r="CA84" s="4" t="str">
        <f t="shared" ref="CA84" si="299">BIN2HEX(BS91&amp;BS90&amp;BS89&amp;BS88&amp;BS87&amp;BS86&amp;BS85&amp;BS84)</f>
        <v>49</v>
      </c>
      <c r="CB84" s="4" t="str">
        <f t="shared" ref="CB84" si="300">BIN2HEX(BT91&amp;BT90&amp;BT89&amp;BT88&amp;BT87&amp;BT86&amp;BT85&amp;BT84)</f>
        <v>32</v>
      </c>
      <c r="CC84" s="4" t="str">
        <f t="shared" ref="CC84" si="301">BIN2HEX(BU91&amp;BU90&amp;BU89&amp;BU88&amp;BU87&amp;BU86&amp;BU85&amp;BU84)</f>
        <v>0</v>
      </c>
      <c r="CD84" s="3" t="str">
        <f>BIN2HEX(BV91&amp;BV90&amp;BV89&amp;BV88&amp;BV87&amp;BV86&amp;BV85&amp;BV84)</f>
        <v>0</v>
      </c>
      <c r="CE84" s="11">
        <v>0</v>
      </c>
      <c r="CF84" s="11">
        <v>1</v>
      </c>
      <c r="CG84" s="11">
        <v>1</v>
      </c>
      <c r="CH84" s="11">
        <v>1</v>
      </c>
      <c r="CI84" s="11">
        <v>1</v>
      </c>
      <c r="CJ84" s="11">
        <v>1</v>
      </c>
      <c r="CK84" s="11">
        <v>0</v>
      </c>
      <c r="CL84" s="11">
        <v>0</v>
      </c>
      <c r="CM84" s="12" t="str">
        <f>BIN2HEX(CE91&amp;CE90&amp;CE89&amp;CE88&amp;CE87&amp;CE86&amp;CE85&amp;CE84)</f>
        <v>0</v>
      </c>
      <c r="CN84" s="12" t="str">
        <f t="shared" ref="CN84" si="302">BIN2HEX(CF91&amp;CF90&amp;CF89&amp;CF88&amp;CF87&amp;CF86&amp;CF85&amp;CF84)</f>
        <v>1</v>
      </c>
      <c r="CO84" s="12" t="str">
        <f t="shared" ref="CO84" si="303">BIN2HEX(CG91&amp;CG90&amp;CG89&amp;CG88&amp;CG87&amp;CG86&amp;CG85&amp;CG84)</f>
        <v>1</v>
      </c>
      <c r="CP84" s="12" t="str">
        <f t="shared" ref="CP84" si="304">BIN2HEX(CH91&amp;CH90&amp;CH89&amp;CH88&amp;CH87&amp;CH86&amp;CH85&amp;CH84)</f>
        <v>7F</v>
      </c>
      <c r="CQ84" s="12" t="str">
        <f t="shared" ref="CQ84" si="305">BIN2HEX(CI91&amp;CI90&amp;CI89&amp;CI88&amp;CI87&amp;CI86&amp;CI85&amp;CI84)</f>
        <v>1</v>
      </c>
      <c r="CR84" s="12" t="str">
        <f t="shared" ref="CR84" si="306">BIN2HEX(CJ91&amp;CJ90&amp;CJ89&amp;CJ88&amp;CJ87&amp;CJ86&amp;CJ85&amp;CJ84)</f>
        <v>1</v>
      </c>
      <c r="CS84" s="12" t="str">
        <f t="shared" ref="CS84" si="307">BIN2HEX(CK91&amp;CK90&amp;CK89&amp;CK88&amp;CK87&amp;CK86&amp;CK85&amp;CK84)</f>
        <v>0</v>
      </c>
      <c r="CT84" s="12" t="str">
        <f>BIN2HEX(CL91&amp;CL90&amp;CL89&amp;CL88&amp;CL87&amp;CL86&amp;CL85&amp;CL84)</f>
        <v>0</v>
      </c>
    </row>
    <row r="85" spans="1:98" x14ac:dyDescent="0.25">
      <c r="A85" s="14"/>
      <c r="B85" s="14"/>
      <c r="C85" s="14"/>
      <c r="D85" s="14"/>
      <c r="E85" s="14"/>
      <c r="F85" s="14"/>
      <c r="G85" s="14"/>
      <c r="H85" s="14"/>
      <c r="I85" s="36"/>
      <c r="J85" s="34"/>
      <c r="K85" s="34"/>
      <c r="L85" s="34"/>
      <c r="M85" s="34"/>
      <c r="N85" s="34"/>
      <c r="O85" s="34"/>
      <c r="P85" s="34"/>
      <c r="Q85" s="14"/>
      <c r="R85" s="14"/>
      <c r="S85" s="14"/>
      <c r="T85" s="14"/>
      <c r="U85" s="14"/>
      <c r="V85" s="14"/>
      <c r="W85" s="14"/>
      <c r="X85" s="14"/>
      <c r="Y85" s="34"/>
      <c r="Z85" s="34"/>
      <c r="AA85" s="34"/>
      <c r="AB85" s="34"/>
      <c r="AC85" s="34"/>
      <c r="AD85" s="34"/>
      <c r="AE85" s="34"/>
      <c r="AF85" s="37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O85" s="2">
        <v>0</v>
      </c>
      <c r="BP85" s="14">
        <v>0</v>
      </c>
      <c r="BQ85" s="14">
        <v>1</v>
      </c>
      <c r="BR85" s="14">
        <v>0</v>
      </c>
      <c r="BS85" s="14">
        <v>0</v>
      </c>
      <c r="BT85" s="14">
        <v>1</v>
      </c>
      <c r="BU85" s="14">
        <v>0</v>
      </c>
      <c r="BV85" s="14">
        <v>0</v>
      </c>
      <c r="BW85" s="46" t="str">
        <f>"0x"&amp;BW84&amp;", 0x"&amp;BX84&amp;", 0x"&amp;BY84&amp;", 0x"&amp;BZ84&amp;", 0x"&amp;CA84&amp;", 0x"&amp;CB84&amp;", 0x"&amp;CC84&amp;", 0x"&amp;CD84</f>
        <v>0x0, 0x0, 0x26, 0x49, 0x49, 0x32, 0x0, 0x0</v>
      </c>
      <c r="BX85" s="47"/>
      <c r="BY85" s="47"/>
      <c r="BZ85" s="47"/>
      <c r="CA85" s="47"/>
      <c r="CB85" s="47"/>
      <c r="CC85" s="47"/>
      <c r="CD85" s="48"/>
      <c r="CE85" s="14">
        <v>0</v>
      </c>
      <c r="CF85" s="14">
        <v>0</v>
      </c>
      <c r="CG85" s="14">
        <v>0</v>
      </c>
      <c r="CH85" s="14">
        <v>1</v>
      </c>
      <c r="CI85" s="14">
        <v>0</v>
      </c>
      <c r="CJ85" s="14">
        <v>0</v>
      </c>
      <c r="CK85" s="14">
        <v>0</v>
      </c>
      <c r="CL85" s="14">
        <v>0</v>
      </c>
      <c r="CM85" s="36" t="str">
        <f>"0x"&amp;CM84&amp;", 0x"&amp;CN84&amp;", 0x"&amp;CO84&amp;", 0x"&amp;CP84&amp;", 0x"&amp;CQ84&amp;", 0x"&amp;CR84&amp;", 0x"&amp;CS84&amp;", 0x"&amp;CT84</f>
        <v>0x0, 0x1, 0x1, 0x7F, 0x1, 0x1, 0x0, 0x0</v>
      </c>
      <c r="CN85" s="34"/>
      <c r="CO85" s="34"/>
      <c r="CP85" s="34"/>
      <c r="CQ85" s="34"/>
      <c r="CR85" s="34"/>
      <c r="CS85" s="34"/>
      <c r="CT85" s="34"/>
    </row>
    <row r="86" spans="1:98" x14ac:dyDescent="0.25">
      <c r="A86" s="14"/>
      <c r="B86" s="14"/>
      <c r="C86" s="14"/>
      <c r="D86" s="14"/>
      <c r="E86" s="14"/>
      <c r="F86" s="14"/>
      <c r="G86" s="14"/>
      <c r="H86" s="14"/>
      <c r="I86" s="36"/>
      <c r="J86" s="34"/>
      <c r="K86" s="34"/>
      <c r="L86" s="34"/>
      <c r="M86" s="34"/>
      <c r="N86" s="34"/>
      <c r="O86" s="34"/>
      <c r="P86" s="34"/>
      <c r="Q86" s="14"/>
      <c r="R86" s="14"/>
      <c r="S86" s="14"/>
      <c r="T86" s="14"/>
      <c r="U86" s="14"/>
      <c r="V86" s="14"/>
      <c r="W86" s="14"/>
      <c r="X86" s="14"/>
      <c r="Y86" s="34"/>
      <c r="Z86" s="34"/>
      <c r="AA86" s="34"/>
      <c r="AB86" s="34"/>
      <c r="AC86" s="34"/>
      <c r="AD86" s="34"/>
      <c r="AE86" s="34"/>
      <c r="AF86" s="37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O86" s="2">
        <v>0</v>
      </c>
      <c r="BP86" s="14">
        <v>0</v>
      </c>
      <c r="BQ86" s="14">
        <v>1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46"/>
      <c r="BX86" s="47"/>
      <c r="BY86" s="47"/>
      <c r="BZ86" s="47"/>
      <c r="CA86" s="47"/>
      <c r="CB86" s="47"/>
      <c r="CC86" s="47"/>
      <c r="CD86" s="48"/>
      <c r="CE86" s="14">
        <v>0</v>
      </c>
      <c r="CF86" s="14">
        <v>0</v>
      </c>
      <c r="CG86" s="14">
        <v>0</v>
      </c>
      <c r="CH86" s="14">
        <v>1</v>
      </c>
      <c r="CI86" s="14">
        <v>0</v>
      </c>
      <c r="CJ86" s="14">
        <v>0</v>
      </c>
      <c r="CK86" s="14">
        <v>0</v>
      </c>
      <c r="CL86" s="14">
        <v>0</v>
      </c>
      <c r="CM86" s="36"/>
      <c r="CN86" s="34"/>
      <c r="CO86" s="34"/>
      <c r="CP86" s="34"/>
      <c r="CQ86" s="34"/>
      <c r="CR86" s="34"/>
      <c r="CS86" s="34"/>
      <c r="CT86" s="34"/>
    </row>
    <row r="87" spans="1:98" x14ac:dyDescent="0.25"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O87" s="2">
        <v>0</v>
      </c>
      <c r="BP87" s="14">
        <v>0</v>
      </c>
      <c r="BQ87" s="14">
        <v>0</v>
      </c>
      <c r="BR87" s="14">
        <v>1</v>
      </c>
      <c r="BS87" s="14">
        <v>1</v>
      </c>
      <c r="BT87" s="14">
        <v>0</v>
      </c>
      <c r="BU87" s="14">
        <v>0</v>
      </c>
      <c r="BV87" s="14">
        <v>0</v>
      </c>
      <c r="BW87" s="51" t="s">
        <v>72</v>
      </c>
      <c r="BX87" s="52"/>
      <c r="BY87" s="52"/>
      <c r="BZ87" s="52"/>
      <c r="CA87" s="52"/>
      <c r="CB87" s="52"/>
      <c r="CC87" s="52"/>
      <c r="CD87" s="53"/>
      <c r="CE87" s="14">
        <v>0</v>
      </c>
      <c r="CF87" s="14">
        <v>0</v>
      </c>
      <c r="CG87" s="14">
        <v>0</v>
      </c>
      <c r="CH87" s="14">
        <v>1</v>
      </c>
      <c r="CI87" s="14">
        <v>0</v>
      </c>
      <c r="CJ87" s="14">
        <v>0</v>
      </c>
      <c r="CK87" s="14">
        <v>0</v>
      </c>
      <c r="CL87" s="14">
        <v>0</v>
      </c>
      <c r="CM87" s="40" t="s">
        <v>73</v>
      </c>
      <c r="CN87" s="41"/>
      <c r="CO87" s="41"/>
      <c r="CP87" s="41"/>
      <c r="CQ87" s="41"/>
      <c r="CR87" s="41"/>
      <c r="CS87" s="41"/>
      <c r="CT87" s="42"/>
    </row>
    <row r="88" spans="1:98" ht="15" customHeight="1" x14ac:dyDescent="0.25"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O88" s="2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1</v>
      </c>
      <c r="BU88" s="14">
        <v>0</v>
      </c>
      <c r="BV88" s="14">
        <v>0</v>
      </c>
      <c r="BW88" s="33" t="str">
        <f>"{{"&amp;BW85&amp;"}"&amp;", "&amp;$I$1&amp;"},  //"&amp;BW87&amp;":"&amp;CA83&amp;":"&amp;CC83</f>
        <v>{{0x0, 0x0, 0x26, 0x49, 0x49, 0x32, 0x0, 0x0}, 8},  //S:0:83</v>
      </c>
      <c r="BX88" s="34"/>
      <c r="BY88" s="34"/>
      <c r="BZ88" s="34"/>
      <c r="CA88" s="34"/>
      <c r="CB88" s="34"/>
      <c r="CC88" s="34"/>
      <c r="CD88" s="35"/>
      <c r="CE88" s="14">
        <v>0</v>
      </c>
      <c r="CF88" s="14">
        <v>0</v>
      </c>
      <c r="CG88" s="14">
        <v>0</v>
      </c>
      <c r="CH88" s="14">
        <v>1</v>
      </c>
      <c r="CI88" s="14">
        <v>0</v>
      </c>
      <c r="CJ88" s="14">
        <v>0</v>
      </c>
      <c r="CK88" s="14">
        <v>0</v>
      </c>
      <c r="CL88" s="14">
        <v>0</v>
      </c>
      <c r="CM88" s="33" t="str">
        <f>"{{"&amp;CM85&amp;"}"&amp;", "&amp;$I$1&amp;"},  //"&amp;CM87&amp;":"&amp;CQ83&amp;":"&amp;CS83</f>
        <v>{{0x0, 0x1, 0x1, 0x7F, 0x1, 0x1, 0x0, 0x0}, 8},  //T:0:84</v>
      </c>
      <c r="CN88" s="34"/>
      <c r="CO88" s="34"/>
      <c r="CP88" s="34"/>
      <c r="CQ88" s="34"/>
      <c r="CR88" s="34"/>
      <c r="CS88" s="34"/>
      <c r="CT88" s="35"/>
    </row>
    <row r="89" spans="1:98" x14ac:dyDescent="0.25"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O89" s="2">
        <v>0</v>
      </c>
      <c r="BP89" s="14">
        <v>0</v>
      </c>
      <c r="BQ89" s="14">
        <v>1</v>
      </c>
      <c r="BR89" s="14">
        <v>0</v>
      </c>
      <c r="BS89" s="14">
        <v>0</v>
      </c>
      <c r="BT89" s="14">
        <v>1</v>
      </c>
      <c r="BU89" s="14">
        <v>0</v>
      </c>
      <c r="BV89" s="14">
        <v>0</v>
      </c>
      <c r="BW89" s="33"/>
      <c r="BX89" s="34"/>
      <c r="BY89" s="34"/>
      <c r="BZ89" s="34"/>
      <c r="CA89" s="34"/>
      <c r="CB89" s="34"/>
      <c r="CC89" s="34"/>
      <c r="CD89" s="35"/>
      <c r="CE89" s="14">
        <v>0</v>
      </c>
      <c r="CF89" s="14">
        <v>0</v>
      </c>
      <c r="CG89" s="14">
        <v>0</v>
      </c>
      <c r="CH89" s="14">
        <v>1</v>
      </c>
      <c r="CI89" s="14">
        <v>0</v>
      </c>
      <c r="CJ89" s="14">
        <v>0</v>
      </c>
      <c r="CK89" s="14">
        <v>0</v>
      </c>
      <c r="CL89" s="14">
        <v>0</v>
      </c>
      <c r="CM89" s="33"/>
      <c r="CN89" s="34"/>
      <c r="CO89" s="34"/>
      <c r="CP89" s="34"/>
      <c r="CQ89" s="34"/>
      <c r="CR89" s="34"/>
      <c r="CS89" s="34"/>
      <c r="CT89" s="35"/>
    </row>
    <row r="90" spans="1:98" x14ac:dyDescent="0.25"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O90" s="2">
        <v>0</v>
      </c>
      <c r="BP90" s="14">
        <v>0</v>
      </c>
      <c r="BQ90" s="14">
        <v>0</v>
      </c>
      <c r="BR90" s="14">
        <v>1</v>
      </c>
      <c r="BS90" s="14">
        <v>1</v>
      </c>
      <c r="BT90" s="14">
        <v>0</v>
      </c>
      <c r="BU90" s="14">
        <v>0</v>
      </c>
      <c r="BV90" s="14">
        <v>0</v>
      </c>
      <c r="BW90" s="4"/>
      <c r="BX90" s="4"/>
      <c r="BY90" s="4"/>
      <c r="BZ90" s="4"/>
      <c r="CA90" s="4"/>
      <c r="CB90" s="4"/>
      <c r="CC90" s="4"/>
      <c r="CD90" s="3"/>
      <c r="CE90" s="14">
        <v>0</v>
      </c>
      <c r="CF90" s="14">
        <v>0</v>
      </c>
      <c r="CG90" s="14">
        <v>0</v>
      </c>
      <c r="CH90" s="14">
        <v>1</v>
      </c>
      <c r="CI90" s="14">
        <v>0</v>
      </c>
      <c r="CJ90" s="14">
        <v>0</v>
      </c>
      <c r="CK90" s="14">
        <v>0</v>
      </c>
      <c r="CL90" s="14">
        <v>0</v>
      </c>
      <c r="CM90" s="40" t="s">
        <v>48</v>
      </c>
      <c r="CN90" s="41"/>
      <c r="CO90" s="41"/>
      <c r="CP90" s="41"/>
      <c r="CQ90" s="44">
        <v>209</v>
      </c>
      <c r="CR90" s="44"/>
      <c r="CS90" s="44">
        <v>130</v>
      </c>
      <c r="CT90" s="45"/>
    </row>
    <row r="91" spans="1:98" x14ac:dyDescent="0.25">
      <c r="A91" s="1"/>
      <c r="B91" s="1"/>
      <c r="C91" s="1"/>
      <c r="D91" s="1"/>
      <c r="E91" s="1"/>
      <c r="F91" s="1"/>
      <c r="G91" s="1"/>
      <c r="H91" s="1"/>
      <c r="Q91" s="1"/>
      <c r="R91" s="1"/>
      <c r="S91" s="1"/>
      <c r="T91" s="1"/>
      <c r="U91" s="1"/>
      <c r="V91" s="1"/>
      <c r="W91" s="1"/>
      <c r="X91" s="1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O91" s="1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4"/>
      <c r="BX91" s="4"/>
      <c r="BY91" s="4"/>
      <c r="BZ91" s="4"/>
      <c r="CA91" s="4"/>
      <c r="CB91" s="4"/>
      <c r="CC91" s="4"/>
      <c r="CD91" s="3"/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0</v>
      </c>
      <c r="CM91" s="12"/>
      <c r="CN91" s="12"/>
      <c r="CO91" s="12"/>
      <c r="CP91" s="12"/>
      <c r="CQ91" s="12"/>
      <c r="CR91" s="12"/>
      <c r="CS91" s="12"/>
      <c r="CT91" s="12"/>
    </row>
    <row r="92" spans="1:98" s="5" customFormat="1" x14ac:dyDescent="0.25">
      <c r="A92" s="6"/>
      <c r="B92" s="6"/>
      <c r="C92" s="6"/>
      <c r="D92" s="6"/>
      <c r="E92" s="6"/>
      <c r="F92" s="6"/>
      <c r="G92" s="6"/>
      <c r="H92" s="6"/>
      <c r="Q92" s="6"/>
      <c r="R92" s="6"/>
      <c r="S92" s="6"/>
      <c r="T92" s="6"/>
      <c r="U92" s="6"/>
      <c r="V92" s="6"/>
      <c r="W92" s="6"/>
      <c r="X92" s="6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20"/>
      <c r="BN92" s="20"/>
      <c r="BO92" s="10">
        <v>1</v>
      </c>
      <c r="BP92" s="10">
        <v>2</v>
      </c>
      <c r="BQ92" s="10">
        <v>3</v>
      </c>
      <c r="BR92" s="10">
        <v>4</v>
      </c>
      <c r="BS92" s="10">
        <v>5</v>
      </c>
      <c r="BT92" s="10">
        <v>6</v>
      </c>
      <c r="BU92" s="10">
        <v>7</v>
      </c>
      <c r="BV92" s="10">
        <v>8</v>
      </c>
      <c r="BW92" s="38" t="s">
        <v>0</v>
      </c>
      <c r="BX92" s="38"/>
      <c r="BY92" s="38"/>
      <c r="BZ92" s="38"/>
      <c r="CA92" s="39">
        <v>0</v>
      </c>
      <c r="CB92" s="39"/>
      <c r="CC92" s="39">
        <v>85</v>
      </c>
      <c r="CD92" s="39"/>
      <c r="CE92" s="10">
        <v>1</v>
      </c>
      <c r="CF92" s="10">
        <v>2</v>
      </c>
      <c r="CG92" s="10">
        <v>3</v>
      </c>
      <c r="CH92" s="10">
        <v>4</v>
      </c>
      <c r="CI92" s="10">
        <v>5</v>
      </c>
      <c r="CJ92" s="10">
        <v>6</v>
      </c>
      <c r="CK92" s="10">
        <v>7</v>
      </c>
      <c r="CL92" s="10">
        <v>8</v>
      </c>
      <c r="CM92" s="38" t="s">
        <v>0</v>
      </c>
      <c r="CN92" s="38"/>
      <c r="CO92" s="38"/>
      <c r="CP92" s="38"/>
      <c r="CQ92" s="39">
        <v>0</v>
      </c>
      <c r="CR92" s="39"/>
      <c r="CS92" s="39">
        <v>86</v>
      </c>
      <c r="CT92" s="39"/>
    </row>
    <row r="93" spans="1:98" x14ac:dyDescent="0.25">
      <c r="A93" s="2"/>
      <c r="B93" s="2"/>
      <c r="C93" s="2"/>
      <c r="D93" s="2"/>
      <c r="E93" s="2"/>
      <c r="F93" s="2"/>
      <c r="G93" s="2"/>
      <c r="H93" s="2"/>
      <c r="Q93" s="2"/>
      <c r="R93" s="2"/>
      <c r="S93" s="2"/>
      <c r="T93" s="2"/>
      <c r="U93" s="2"/>
      <c r="V93" s="2"/>
      <c r="W93" s="2"/>
      <c r="X93" s="2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O93" s="11">
        <v>0</v>
      </c>
      <c r="BP93" s="11">
        <v>1</v>
      </c>
      <c r="BQ93" s="11">
        <v>0</v>
      </c>
      <c r="BR93" s="11">
        <v>0</v>
      </c>
      <c r="BS93" s="11">
        <v>0</v>
      </c>
      <c r="BT93" s="11">
        <v>1</v>
      </c>
      <c r="BU93" s="11">
        <v>0</v>
      </c>
      <c r="BV93" s="11">
        <v>0</v>
      </c>
      <c r="BW93" s="12" t="str">
        <f>BIN2HEX(BO100&amp;BO99&amp;BO98&amp;BO97&amp;BO96&amp;BO95&amp;BO94&amp;BO93)</f>
        <v>0</v>
      </c>
      <c r="BX93" s="12" t="str">
        <f t="shared" ref="BX93" si="308">BIN2HEX(BP100&amp;BP99&amp;BP98&amp;BP97&amp;BP96&amp;BP95&amp;BP94&amp;BP93)</f>
        <v>3F</v>
      </c>
      <c r="BY93" s="12" t="str">
        <f t="shared" ref="BY93" si="309">BIN2HEX(BQ100&amp;BQ99&amp;BQ98&amp;BQ97&amp;BQ96&amp;BQ95&amp;BQ94&amp;BQ93)</f>
        <v>40</v>
      </c>
      <c r="BZ93" s="12" t="str">
        <f t="shared" ref="BZ93" si="310">BIN2HEX(BR100&amp;BR99&amp;BR98&amp;BR97&amp;BR96&amp;BR95&amp;BR94&amp;BR93)</f>
        <v>40</v>
      </c>
      <c r="CA93" s="12" t="str">
        <f t="shared" ref="CA93" si="311">BIN2HEX(BS100&amp;BS99&amp;BS98&amp;BS97&amp;BS96&amp;BS95&amp;BS94&amp;BS93)</f>
        <v>40</v>
      </c>
      <c r="CB93" s="12" t="str">
        <f>BIN2HEX(BT100&amp;BT99&amp;BT98&amp;BT97&amp;BT96&amp;BT95&amp;BT94&amp;BT93)</f>
        <v>3F</v>
      </c>
      <c r="CC93" s="12" t="str">
        <f>BIN2HEX(BU100&amp;BU99&amp;BU98&amp;BU97&amp;BU96&amp;BU95&amp;BU94&amp;BU93)</f>
        <v>0</v>
      </c>
      <c r="CD93" s="12" t="str">
        <f>BIN2HEX(BV100&amp;BV99&amp;BV98&amp;BV97&amp;BV96&amp;BV95&amp;BV94&amp;BV93)</f>
        <v>0</v>
      </c>
      <c r="CE93" s="11">
        <v>0</v>
      </c>
      <c r="CF93" s="11">
        <v>1</v>
      </c>
      <c r="CG93" s="11">
        <v>0</v>
      </c>
      <c r="CH93" s="11">
        <v>0</v>
      </c>
      <c r="CI93" s="11">
        <v>0</v>
      </c>
      <c r="CJ93" s="11">
        <v>1</v>
      </c>
      <c r="CK93" s="11">
        <v>0</v>
      </c>
      <c r="CL93" s="11">
        <v>0</v>
      </c>
      <c r="CM93" s="12" t="str">
        <f>BIN2HEX(CE100&amp;CE99&amp;CE98&amp;CE97&amp;CE96&amp;CE95&amp;CE94&amp;CE93)</f>
        <v>0</v>
      </c>
      <c r="CN93" s="12" t="str">
        <f t="shared" ref="CN93" si="312">BIN2HEX(CF100&amp;CF99&amp;CF98&amp;CF97&amp;CF96&amp;CF95&amp;CF94&amp;CF93)</f>
        <v>7</v>
      </c>
      <c r="CO93" s="12" t="str">
        <f t="shared" ref="CO93" si="313">BIN2HEX(CG100&amp;CG99&amp;CG98&amp;CG97&amp;CG96&amp;CG95&amp;CG94&amp;CG93)</f>
        <v>18</v>
      </c>
      <c r="CP93" s="12" t="str">
        <f t="shared" ref="CP93" si="314">BIN2HEX(CH100&amp;CH99&amp;CH98&amp;CH97&amp;CH96&amp;CH95&amp;CH94&amp;CH93)</f>
        <v>60</v>
      </c>
      <c r="CQ93" s="12" t="str">
        <f t="shared" ref="CQ93" si="315">BIN2HEX(CI100&amp;CI99&amp;CI98&amp;CI97&amp;CI96&amp;CI95&amp;CI94&amp;CI93)</f>
        <v>18</v>
      </c>
      <c r="CR93" s="12" t="str">
        <f>BIN2HEX(CJ100&amp;CJ99&amp;CJ98&amp;CJ97&amp;CJ96&amp;CJ95&amp;CJ94&amp;CJ93)</f>
        <v>7</v>
      </c>
      <c r="CS93" s="12" t="str">
        <f>BIN2HEX(CK100&amp;CK99&amp;CK98&amp;CK97&amp;CK96&amp;CK95&amp;CK94&amp;CK93)</f>
        <v>0</v>
      </c>
      <c r="CT93" s="12" t="str">
        <f>BIN2HEX(CL100&amp;CL99&amp;CL98&amp;CL97&amp;CL96&amp;CL95&amp;CL94&amp;CL93)</f>
        <v>0</v>
      </c>
    </row>
    <row r="94" spans="1:98" x14ac:dyDescent="0.25">
      <c r="I94" s="46"/>
      <c r="J94" s="47"/>
      <c r="K94" s="47"/>
      <c r="L94" s="47"/>
      <c r="M94" s="47"/>
      <c r="N94" s="47"/>
      <c r="O94" s="47"/>
      <c r="P94" s="47"/>
      <c r="Y94" s="46"/>
      <c r="Z94" s="47"/>
      <c r="AA94" s="47"/>
      <c r="AB94" s="47"/>
      <c r="AC94" s="47"/>
      <c r="AD94" s="47"/>
      <c r="AE94" s="47"/>
      <c r="AF94" s="48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O94" s="14">
        <v>0</v>
      </c>
      <c r="BP94" s="14">
        <v>1</v>
      </c>
      <c r="BQ94" s="14">
        <v>0</v>
      </c>
      <c r="BR94" s="14">
        <v>0</v>
      </c>
      <c r="BS94" s="14">
        <v>0</v>
      </c>
      <c r="BT94" s="14">
        <v>1</v>
      </c>
      <c r="BU94" s="14">
        <v>0</v>
      </c>
      <c r="BV94" s="14">
        <v>0</v>
      </c>
      <c r="BW94" s="36" t="str">
        <f>"0x"&amp;BW93&amp;", 0x"&amp;BX93&amp;", 0x"&amp;BY93&amp;", 0x"&amp;BZ93&amp;", 0x"&amp;CA93&amp;", 0x"&amp;CB93&amp;", 0x"&amp;CC93&amp;", 0x"&amp;CD93</f>
        <v>0x0, 0x3F, 0x40, 0x40, 0x40, 0x3F, 0x0, 0x0</v>
      </c>
      <c r="BX94" s="34"/>
      <c r="BY94" s="34"/>
      <c r="BZ94" s="34"/>
      <c r="CA94" s="34"/>
      <c r="CB94" s="34"/>
      <c r="CC94" s="34"/>
      <c r="CD94" s="37"/>
      <c r="CE94" s="14">
        <v>0</v>
      </c>
      <c r="CF94" s="14">
        <v>1</v>
      </c>
      <c r="CG94" s="14">
        <v>0</v>
      </c>
      <c r="CH94" s="14">
        <v>0</v>
      </c>
      <c r="CI94" s="14">
        <v>0</v>
      </c>
      <c r="CJ94" s="14">
        <v>1</v>
      </c>
      <c r="CK94" s="14">
        <v>0</v>
      </c>
      <c r="CL94" s="14">
        <v>0</v>
      </c>
      <c r="CM94" s="36" t="str">
        <f>"0x"&amp;CM93&amp;", 0x"&amp;CN93&amp;", 0x"&amp;CO93&amp;", 0x"&amp;CP93&amp;", 0x"&amp;CQ93&amp;", 0x"&amp;CR93&amp;", 0x"&amp;CS93&amp;", 0x"&amp;CT93</f>
        <v>0x0, 0x7, 0x18, 0x60, 0x18, 0x7, 0x0, 0x0</v>
      </c>
      <c r="CN94" s="34"/>
      <c r="CO94" s="34"/>
      <c r="CP94" s="34"/>
      <c r="CQ94" s="34"/>
      <c r="CR94" s="34"/>
      <c r="CS94" s="34"/>
      <c r="CT94" s="37"/>
    </row>
    <row r="95" spans="1:98" x14ac:dyDescent="0.25">
      <c r="I95" s="46"/>
      <c r="J95" s="47"/>
      <c r="K95" s="47"/>
      <c r="L95" s="47"/>
      <c r="M95" s="47"/>
      <c r="N95" s="47"/>
      <c r="O95" s="47"/>
      <c r="P95" s="47"/>
      <c r="Y95" s="46"/>
      <c r="Z95" s="47"/>
      <c r="AA95" s="47"/>
      <c r="AB95" s="47"/>
      <c r="AC95" s="47"/>
      <c r="AD95" s="47"/>
      <c r="AE95" s="47"/>
      <c r="AF95" s="48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O95" s="14">
        <v>0</v>
      </c>
      <c r="BP95" s="14">
        <v>1</v>
      </c>
      <c r="BQ95" s="14">
        <v>0</v>
      </c>
      <c r="BR95" s="14">
        <v>0</v>
      </c>
      <c r="BS95" s="14">
        <v>0</v>
      </c>
      <c r="BT95" s="14">
        <v>1</v>
      </c>
      <c r="BU95" s="14">
        <v>0</v>
      </c>
      <c r="BV95" s="14">
        <v>0</v>
      </c>
      <c r="BW95" s="36"/>
      <c r="BX95" s="34"/>
      <c r="BY95" s="34"/>
      <c r="BZ95" s="34"/>
      <c r="CA95" s="34"/>
      <c r="CB95" s="34"/>
      <c r="CC95" s="34"/>
      <c r="CD95" s="37"/>
      <c r="CE95" s="14">
        <v>0</v>
      </c>
      <c r="CF95" s="14">
        <v>1</v>
      </c>
      <c r="CG95" s="14">
        <v>0</v>
      </c>
      <c r="CH95" s="14">
        <v>0</v>
      </c>
      <c r="CI95" s="14">
        <v>0</v>
      </c>
      <c r="CJ95" s="14">
        <v>1</v>
      </c>
      <c r="CK95" s="14">
        <v>0</v>
      </c>
      <c r="CL95" s="14">
        <v>0</v>
      </c>
      <c r="CM95" s="36"/>
      <c r="CN95" s="34"/>
      <c r="CO95" s="34"/>
      <c r="CP95" s="34"/>
      <c r="CQ95" s="34"/>
      <c r="CR95" s="34"/>
      <c r="CS95" s="34"/>
      <c r="CT95" s="37"/>
    </row>
    <row r="96" spans="1:98" x14ac:dyDescent="0.25"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O96" s="14">
        <v>0</v>
      </c>
      <c r="BP96" s="14">
        <v>1</v>
      </c>
      <c r="BQ96" s="14">
        <v>0</v>
      </c>
      <c r="BR96" s="14">
        <v>0</v>
      </c>
      <c r="BS96" s="14">
        <v>0</v>
      </c>
      <c r="BT96" s="14">
        <v>1</v>
      </c>
      <c r="BU96" s="14">
        <v>0</v>
      </c>
      <c r="BV96" s="14">
        <v>0</v>
      </c>
      <c r="BW96" s="40" t="s">
        <v>74</v>
      </c>
      <c r="BX96" s="41"/>
      <c r="BY96" s="41"/>
      <c r="BZ96" s="41"/>
      <c r="CA96" s="41"/>
      <c r="CB96" s="41"/>
      <c r="CC96" s="41"/>
      <c r="CD96" s="43"/>
      <c r="CE96" s="14">
        <v>0</v>
      </c>
      <c r="CF96" s="14">
        <v>0</v>
      </c>
      <c r="CG96" s="14">
        <v>1</v>
      </c>
      <c r="CH96" s="14">
        <v>0</v>
      </c>
      <c r="CI96" s="14">
        <v>1</v>
      </c>
      <c r="CJ96" s="14">
        <v>0</v>
      </c>
      <c r="CK96" s="14">
        <v>0</v>
      </c>
      <c r="CL96" s="14">
        <v>0</v>
      </c>
      <c r="CM96" s="40" t="s">
        <v>75</v>
      </c>
      <c r="CN96" s="41"/>
      <c r="CO96" s="41"/>
      <c r="CP96" s="41"/>
      <c r="CQ96" s="41"/>
      <c r="CR96" s="41"/>
      <c r="CS96" s="41"/>
      <c r="CT96" s="43"/>
    </row>
    <row r="97" spans="1:98" ht="15" customHeight="1" x14ac:dyDescent="0.25"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O97" s="14">
        <v>0</v>
      </c>
      <c r="BP97" s="14">
        <v>1</v>
      </c>
      <c r="BQ97" s="14">
        <v>0</v>
      </c>
      <c r="BR97" s="14">
        <v>0</v>
      </c>
      <c r="BS97" s="14">
        <v>0</v>
      </c>
      <c r="BT97" s="14">
        <v>1</v>
      </c>
      <c r="BU97" s="14">
        <v>0</v>
      </c>
      <c r="BV97" s="14">
        <v>0</v>
      </c>
      <c r="BW97" s="33" t="str">
        <f>"{{"&amp;BW94&amp;"}"&amp;", "&amp;$I$1&amp;"},  //"&amp;BW96&amp;":"&amp;CA92&amp;":"&amp;CC92</f>
        <v>{{0x0, 0x3F, 0x40, 0x40, 0x40, 0x3F, 0x0, 0x0}, 8},  //U:0:85</v>
      </c>
      <c r="BX97" s="34"/>
      <c r="BY97" s="34"/>
      <c r="BZ97" s="34"/>
      <c r="CA97" s="34"/>
      <c r="CB97" s="34"/>
      <c r="CC97" s="34"/>
      <c r="CD97" s="35"/>
      <c r="CE97" s="14">
        <v>0</v>
      </c>
      <c r="CF97" s="14">
        <v>0</v>
      </c>
      <c r="CG97" s="14">
        <v>1</v>
      </c>
      <c r="CH97" s="14">
        <v>0</v>
      </c>
      <c r="CI97" s="14">
        <v>1</v>
      </c>
      <c r="CJ97" s="14">
        <v>0</v>
      </c>
      <c r="CK97" s="14">
        <v>0</v>
      </c>
      <c r="CL97" s="14">
        <v>0</v>
      </c>
      <c r="CM97" s="33" t="str">
        <f>"{{"&amp;CM94&amp;"}"&amp;", "&amp;$I$1&amp;"},  //"&amp;CM96&amp;":"&amp;CQ92&amp;":"&amp;CS92</f>
        <v>{{0x0, 0x7, 0x18, 0x60, 0x18, 0x7, 0x0, 0x0}, 8},  //V:0:86</v>
      </c>
      <c r="CN97" s="34"/>
      <c r="CO97" s="34"/>
      <c r="CP97" s="34"/>
      <c r="CQ97" s="34"/>
      <c r="CR97" s="34"/>
      <c r="CS97" s="34"/>
      <c r="CT97" s="35"/>
    </row>
    <row r="98" spans="1:98" x14ac:dyDescent="0.25"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O98" s="14">
        <v>0</v>
      </c>
      <c r="BP98" s="14">
        <v>1</v>
      </c>
      <c r="BQ98" s="14">
        <v>0</v>
      </c>
      <c r="BR98" s="14">
        <v>0</v>
      </c>
      <c r="BS98" s="14">
        <v>0</v>
      </c>
      <c r="BT98" s="14">
        <v>1</v>
      </c>
      <c r="BU98" s="14">
        <v>0</v>
      </c>
      <c r="BV98" s="14">
        <v>0</v>
      </c>
      <c r="BW98" s="33"/>
      <c r="BX98" s="34"/>
      <c r="BY98" s="34"/>
      <c r="BZ98" s="34"/>
      <c r="CA98" s="34"/>
      <c r="CB98" s="34"/>
      <c r="CC98" s="34"/>
      <c r="CD98" s="35"/>
      <c r="CE98" s="14">
        <v>0</v>
      </c>
      <c r="CF98" s="14">
        <v>0</v>
      </c>
      <c r="CG98" s="14">
        <v>0</v>
      </c>
      <c r="CH98" s="14">
        <v>1</v>
      </c>
      <c r="CI98" s="14">
        <v>0</v>
      </c>
      <c r="CJ98" s="14">
        <v>0</v>
      </c>
      <c r="CK98" s="14">
        <v>0</v>
      </c>
      <c r="CL98" s="14">
        <v>0</v>
      </c>
      <c r="CM98" s="33"/>
      <c r="CN98" s="34"/>
      <c r="CO98" s="34"/>
      <c r="CP98" s="34"/>
      <c r="CQ98" s="34"/>
      <c r="CR98" s="34"/>
      <c r="CS98" s="34"/>
      <c r="CT98" s="35"/>
    </row>
    <row r="99" spans="1:98" x14ac:dyDescent="0.25"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O99" s="14">
        <v>0</v>
      </c>
      <c r="BP99" s="14">
        <v>0</v>
      </c>
      <c r="BQ99" s="14">
        <v>1</v>
      </c>
      <c r="BR99" s="14">
        <v>1</v>
      </c>
      <c r="BS99" s="14">
        <v>1</v>
      </c>
      <c r="BT99" s="14">
        <v>0</v>
      </c>
      <c r="BU99" s="14">
        <v>0</v>
      </c>
      <c r="BV99" s="14">
        <v>0</v>
      </c>
      <c r="BW99" s="40" t="s">
        <v>48</v>
      </c>
      <c r="BX99" s="41"/>
      <c r="BY99" s="41"/>
      <c r="BZ99" s="41"/>
      <c r="CA99" s="44"/>
      <c r="CB99" s="44"/>
      <c r="CC99" s="44"/>
      <c r="CD99" s="45"/>
      <c r="CE99" s="14">
        <v>0</v>
      </c>
      <c r="CF99" s="14">
        <v>0</v>
      </c>
      <c r="CG99" s="14">
        <v>0</v>
      </c>
      <c r="CH99" s="14">
        <v>1</v>
      </c>
      <c r="CI99" s="14">
        <v>0</v>
      </c>
      <c r="CJ99" s="14">
        <v>0</v>
      </c>
      <c r="CK99" s="14">
        <v>0</v>
      </c>
      <c r="CL99" s="14">
        <v>0</v>
      </c>
      <c r="CM99" s="40" t="s">
        <v>48</v>
      </c>
      <c r="CN99" s="41"/>
      <c r="CO99" s="41"/>
      <c r="CP99" s="41"/>
      <c r="CQ99" s="44"/>
      <c r="CR99" s="44"/>
      <c r="CS99" s="44"/>
      <c r="CT99" s="45"/>
    </row>
    <row r="100" spans="1:98" x14ac:dyDescent="0.25">
      <c r="A100" s="1"/>
      <c r="B100" s="1"/>
      <c r="C100" s="1"/>
      <c r="D100" s="1"/>
      <c r="E100" s="1"/>
      <c r="F100" s="1"/>
      <c r="G100" s="1"/>
      <c r="H100" s="1"/>
      <c r="Q100" s="1"/>
      <c r="R100" s="1"/>
      <c r="S100" s="1"/>
      <c r="T100" s="1"/>
      <c r="U100" s="1"/>
      <c r="V100" s="1"/>
      <c r="W100" s="1"/>
      <c r="X100" s="1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2"/>
      <c r="BX100" s="12"/>
      <c r="BY100" s="12"/>
      <c r="BZ100" s="12"/>
      <c r="CA100" s="12"/>
      <c r="CB100" s="12"/>
      <c r="CC100" s="12"/>
      <c r="CD100" s="12"/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2"/>
      <c r="CN100" s="12"/>
      <c r="CO100" s="12"/>
      <c r="CP100" s="12"/>
      <c r="CQ100" s="12"/>
      <c r="CR100" s="12"/>
      <c r="CS100" s="12"/>
      <c r="CT100" s="12"/>
    </row>
    <row r="101" spans="1:98" s="5" customFormat="1" x14ac:dyDescent="0.25">
      <c r="A101" s="6"/>
      <c r="B101" s="6"/>
      <c r="C101" s="6"/>
      <c r="D101" s="6"/>
      <c r="E101" s="6"/>
      <c r="F101" s="6"/>
      <c r="G101" s="6"/>
      <c r="H101" s="6"/>
      <c r="Q101" s="6"/>
      <c r="R101" s="6"/>
      <c r="S101" s="6"/>
      <c r="T101" s="6"/>
      <c r="U101" s="6"/>
      <c r="V101" s="6"/>
      <c r="W101" s="6"/>
      <c r="X101" s="6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20"/>
      <c r="BN101" s="20"/>
      <c r="BO101" s="10">
        <v>1</v>
      </c>
      <c r="BP101" s="10">
        <v>2</v>
      </c>
      <c r="BQ101" s="10">
        <v>3</v>
      </c>
      <c r="BR101" s="10">
        <v>4</v>
      </c>
      <c r="BS101" s="10">
        <v>5</v>
      </c>
      <c r="BT101" s="10">
        <v>6</v>
      </c>
      <c r="BU101" s="10">
        <v>7</v>
      </c>
      <c r="BV101" s="10">
        <v>8</v>
      </c>
      <c r="BW101" s="38" t="s">
        <v>0</v>
      </c>
      <c r="BX101" s="38"/>
      <c r="BY101" s="38"/>
      <c r="BZ101" s="38"/>
      <c r="CA101" s="39">
        <v>0</v>
      </c>
      <c r="CB101" s="39"/>
      <c r="CC101" s="39">
        <v>87</v>
      </c>
      <c r="CD101" s="39"/>
      <c r="CE101" s="10">
        <v>1</v>
      </c>
      <c r="CF101" s="10">
        <v>2</v>
      </c>
      <c r="CG101" s="10">
        <v>3</v>
      </c>
      <c r="CH101" s="10">
        <v>4</v>
      </c>
      <c r="CI101" s="10">
        <v>5</v>
      </c>
      <c r="CJ101" s="10">
        <v>6</v>
      </c>
      <c r="CK101" s="10">
        <v>7</v>
      </c>
      <c r="CL101" s="10">
        <v>8</v>
      </c>
      <c r="CM101" s="38" t="s">
        <v>0</v>
      </c>
      <c r="CN101" s="38"/>
      <c r="CO101" s="38"/>
      <c r="CP101" s="38"/>
      <c r="CQ101" s="39">
        <v>0</v>
      </c>
      <c r="CR101" s="39"/>
      <c r="CS101" s="39">
        <v>88</v>
      </c>
      <c r="CT101" s="39"/>
    </row>
    <row r="102" spans="1:98" x14ac:dyDescent="0.25">
      <c r="A102" s="2"/>
      <c r="B102" s="2"/>
      <c r="C102" s="2"/>
      <c r="D102" s="2"/>
      <c r="E102" s="2"/>
      <c r="F102" s="2"/>
      <c r="G102" s="2"/>
      <c r="H102" s="2"/>
      <c r="Q102" s="2"/>
      <c r="R102" s="2"/>
      <c r="S102" s="2"/>
      <c r="T102" s="2"/>
      <c r="U102" s="2"/>
      <c r="V102" s="2"/>
      <c r="W102" s="2"/>
      <c r="X102" s="2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O102" s="11">
        <v>0</v>
      </c>
      <c r="BP102" s="11">
        <v>1</v>
      </c>
      <c r="BQ102" s="11">
        <v>0</v>
      </c>
      <c r="BR102" s="11">
        <v>0</v>
      </c>
      <c r="BS102" s="11">
        <v>0</v>
      </c>
      <c r="BT102" s="11">
        <v>1</v>
      </c>
      <c r="BU102" s="11">
        <v>0</v>
      </c>
      <c r="BV102" s="11">
        <v>0</v>
      </c>
      <c r="BW102" s="12" t="str">
        <f>BIN2HEX(BO109&amp;BO108&amp;BO107&amp;BO106&amp;BO105&amp;BO104&amp;BO103&amp;BO102)</f>
        <v>0</v>
      </c>
      <c r="BX102" s="12" t="str">
        <f t="shared" ref="BX102" si="316">BIN2HEX(BP109&amp;BP108&amp;BP107&amp;BP106&amp;BP105&amp;BP104&amp;BP103&amp;BP102)</f>
        <v>7F</v>
      </c>
      <c r="BY102" s="12" t="str">
        <f t="shared" ref="BY102" si="317">BIN2HEX(BQ109&amp;BQ108&amp;BQ107&amp;BQ106&amp;BQ105&amp;BQ104&amp;BQ103&amp;BQ102)</f>
        <v>20</v>
      </c>
      <c r="BZ102" s="12" t="str">
        <f t="shared" ref="BZ102" si="318">BIN2HEX(BR109&amp;BR108&amp;BR107&amp;BR106&amp;BR105&amp;BR104&amp;BR103&amp;BR102)</f>
        <v>1C</v>
      </c>
      <c r="CA102" s="12" t="str">
        <f t="shared" ref="CA102" si="319">BIN2HEX(BS109&amp;BS108&amp;BS107&amp;BS106&amp;BS105&amp;BS104&amp;BS103&amp;BS102)</f>
        <v>20</v>
      </c>
      <c r="CB102" s="12" t="str">
        <f t="shared" ref="CB102" si="320">BIN2HEX(BT109&amp;BT108&amp;BT107&amp;BT106&amp;BT105&amp;BT104&amp;BT103&amp;BT102)</f>
        <v>7F</v>
      </c>
      <c r="CC102" s="12" t="str">
        <f t="shared" ref="CC102" si="321">BIN2HEX(BU109&amp;BU108&amp;BU107&amp;BU106&amp;BU105&amp;BU104&amp;BU103&amp;BU102)</f>
        <v>0</v>
      </c>
      <c r="CD102" s="12" t="str">
        <f>BIN2HEX(BV109&amp;BV108&amp;BV107&amp;BV106&amp;BV105&amp;BV104&amp;BV103&amp;BV102)</f>
        <v>0</v>
      </c>
      <c r="CE102" s="11">
        <v>0</v>
      </c>
      <c r="CF102" s="11">
        <v>1</v>
      </c>
      <c r="CG102" s="11">
        <v>0</v>
      </c>
      <c r="CH102" s="11">
        <v>0</v>
      </c>
      <c r="CI102" s="11">
        <v>0</v>
      </c>
      <c r="CJ102" s="11">
        <v>1</v>
      </c>
      <c r="CK102" s="11">
        <v>0</v>
      </c>
      <c r="CL102" s="11">
        <v>0</v>
      </c>
      <c r="CM102" s="12" t="str">
        <f>BIN2HEX(CE109&amp;CE108&amp;CE107&amp;CE106&amp;CE105&amp;CE104&amp;CE103&amp;CE102)</f>
        <v>0</v>
      </c>
      <c r="CN102" s="12" t="str">
        <f t="shared" ref="CN102" si="322">BIN2HEX(CF109&amp;CF108&amp;CF107&amp;CF106&amp;CF105&amp;CF104&amp;CF103&amp;CF102)</f>
        <v>63</v>
      </c>
      <c r="CO102" s="12" t="str">
        <f t="shared" ref="CO102" si="323">BIN2HEX(CG109&amp;CG108&amp;CG107&amp;CG106&amp;CG105&amp;CG104&amp;CG103&amp;CG102)</f>
        <v>14</v>
      </c>
      <c r="CP102" s="12" t="str">
        <f t="shared" ref="CP102" si="324">BIN2HEX(CH109&amp;CH108&amp;CH107&amp;CH106&amp;CH105&amp;CH104&amp;CH103&amp;CH102)</f>
        <v>8</v>
      </c>
      <c r="CQ102" s="12" t="str">
        <f t="shared" ref="CQ102" si="325">BIN2HEX(CI109&amp;CI108&amp;CI107&amp;CI106&amp;CI105&amp;CI104&amp;CI103&amp;CI102)</f>
        <v>14</v>
      </c>
      <c r="CR102" s="12" t="str">
        <f t="shared" ref="CR102" si="326">BIN2HEX(CJ109&amp;CJ108&amp;CJ107&amp;CJ106&amp;CJ105&amp;CJ104&amp;CJ103&amp;CJ102)</f>
        <v>63</v>
      </c>
      <c r="CS102" s="12" t="str">
        <f t="shared" ref="CS102" si="327">BIN2HEX(CK109&amp;CK108&amp;CK107&amp;CK106&amp;CK105&amp;CK104&amp;CK103&amp;CK102)</f>
        <v>0</v>
      </c>
      <c r="CT102" s="12" t="str">
        <f>BIN2HEX(CL109&amp;CL108&amp;CL107&amp;CL106&amp;CL105&amp;CL104&amp;CL103&amp;CL102)</f>
        <v>0</v>
      </c>
    </row>
    <row r="103" spans="1:98" x14ac:dyDescent="0.25">
      <c r="I103" s="46"/>
      <c r="J103" s="47"/>
      <c r="K103" s="47"/>
      <c r="L103" s="47"/>
      <c r="M103" s="47"/>
      <c r="N103" s="47"/>
      <c r="O103" s="47"/>
      <c r="P103" s="47"/>
      <c r="Y103" s="46"/>
      <c r="Z103" s="47"/>
      <c r="AA103" s="47"/>
      <c r="AB103" s="47"/>
      <c r="AC103" s="47"/>
      <c r="AD103" s="47"/>
      <c r="AE103" s="47"/>
      <c r="AF103" s="48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O103" s="14">
        <v>0</v>
      </c>
      <c r="BP103" s="14">
        <v>1</v>
      </c>
      <c r="BQ103" s="14">
        <v>0</v>
      </c>
      <c r="BR103" s="14">
        <v>0</v>
      </c>
      <c r="BS103" s="14">
        <v>0</v>
      </c>
      <c r="BT103" s="14">
        <v>1</v>
      </c>
      <c r="BU103" s="14">
        <v>0</v>
      </c>
      <c r="BV103" s="14">
        <v>0</v>
      </c>
      <c r="BW103" s="36" t="str">
        <f>"0x"&amp;BW102&amp;", 0x"&amp;BX102&amp;", 0x"&amp;BY102&amp;", 0x"&amp;BZ102&amp;", 0x"&amp;CA102&amp;", 0x"&amp;CB102&amp;", 0x"&amp;CC102&amp;", 0x"&amp;CD102</f>
        <v>0x0, 0x7F, 0x20, 0x1C, 0x20, 0x7F, 0x0, 0x0</v>
      </c>
      <c r="BX103" s="34"/>
      <c r="BY103" s="34"/>
      <c r="BZ103" s="34"/>
      <c r="CA103" s="34"/>
      <c r="CB103" s="34"/>
      <c r="CC103" s="34"/>
      <c r="CD103" s="34"/>
      <c r="CE103" s="14">
        <v>0</v>
      </c>
      <c r="CF103" s="14">
        <v>1</v>
      </c>
      <c r="CG103" s="14">
        <v>0</v>
      </c>
      <c r="CH103" s="14">
        <v>0</v>
      </c>
      <c r="CI103" s="14">
        <v>0</v>
      </c>
      <c r="CJ103" s="14">
        <v>1</v>
      </c>
      <c r="CK103" s="14">
        <v>0</v>
      </c>
      <c r="CL103" s="14">
        <v>0</v>
      </c>
      <c r="CM103" s="36" t="str">
        <f>"0x"&amp;CM102&amp;", 0x"&amp;CN102&amp;", 0x"&amp;CO102&amp;", 0x"&amp;CP102&amp;", 0x"&amp;CQ102&amp;", 0x"&amp;CR102&amp;", 0x"&amp;CS102&amp;", 0x"&amp;CT102</f>
        <v>0x0, 0x63, 0x14, 0x8, 0x14, 0x63, 0x0, 0x0</v>
      </c>
      <c r="CN103" s="34"/>
      <c r="CO103" s="34"/>
      <c r="CP103" s="34"/>
      <c r="CQ103" s="34"/>
      <c r="CR103" s="34"/>
      <c r="CS103" s="34"/>
      <c r="CT103" s="37"/>
    </row>
    <row r="104" spans="1:98" x14ac:dyDescent="0.25">
      <c r="I104" s="46"/>
      <c r="J104" s="47"/>
      <c r="K104" s="47"/>
      <c r="L104" s="47"/>
      <c r="M104" s="47"/>
      <c r="N104" s="47"/>
      <c r="O104" s="47"/>
      <c r="P104" s="47"/>
      <c r="Y104" s="46"/>
      <c r="Z104" s="47"/>
      <c r="AA104" s="47"/>
      <c r="AB104" s="47"/>
      <c r="AC104" s="47"/>
      <c r="AD104" s="47"/>
      <c r="AE104" s="47"/>
      <c r="AF104" s="48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O104" s="14">
        <v>0</v>
      </c>
      <c r="BP104" s="14">
        <v>1</v>
      </c>
      <c r="BQ104" s="14">
        <v>0</v>
      </c>
      <c r="BR104" s="14">
        <v>1</v>
      </c>
      <c r="BS104" s="14">
        <v>0</v>
      </c>
      <c r="BT104" s="14">
        <v>1</v>
      </c>
      <c r="BU104" s="14">
        <v>0</v>
      </c>
      <c r="BV104" s="14">
        <v>0</v>
      </c>
      <c r="BW104" s="36"/>
      <c r="BX104" s="34"/>
      <c r="BY104" s="34"/>
      <c r="BZ104" s="34"/>
      <c r="CA104" s="34"/>
      <c r="CB104" s="34"/>
      <c r="CC104" s="34"/>
      <c r="CD104" s="34"/>
      <c r="CE104" s="14">
        <v>0</v>
      </c>
      <c r="CF104" s="14">
        <v>0</v>
      </c>
      <c r="CG104" s="14">
        <v>1</v>
      </c>
      <c r="CH104" s="14">
        <v>0</v>
      </c>
      <c r="CI104" s="14">
        <v>1</v>
      </c>
      <c r="CJ104" s="14">
        <v>0</v>
      </c>
      <c r="CK104" s="14">
        <v>0</v>
      </c>
      <c r="CL104" s="14">
        <v>0</v>
      </c>
      <c r="CM104" s="36"/>
      <c r="CN104" s="34"/>
      <c r="CO104" s="34"/>
      <c r="CP104" s="34"/>
      <c r="CQ104" s="34"/>
      <c r="CR104" s="34"/>
      <c r="CS104" s="34"/>
      <c r="CT104" s="37"/>
    </row>
    <row r="105" spans="1:98" x14ac:dyDescent="0.25"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O105" s="14">
        <v>0</v>
      </c>
      <c r="BP105" s="14">
        <v>1</v>
      </c>
      <c r="BQ105" s="14">
        <v>0</v>
      </c>
      <c r="BR105" s="14">
        <v>1</v>
      </c>
      <c r="BS105" s="14">
        <v>0</v>
      </c>
      <c r="BT105" s="14">
        <v>1</v>
      </c>
      <c r="BU105" s="14">
        <v>0</v>
      </c>
      <c r="BV105" s="14">
        <v>0</v>
      </c>
      <c r="BW105" s="40" t="s">
        <v>76</v>
      </c>
      <c r="BX105" s="41"/>
      <c r="BY105" s="41"/>
      <c r="BZ105" s="41"/>
      <c r="CA105" s="41"/>
      <c r="CB105" s="41"/>
      <c r="CC105" s="41"/>
      <c r="CD105" s="42"/>
      <c r="CE105" s="14">
        <v>0</v>
      </c>
      <c r="CF105" s="14">
        <v>0</v>
      </c>
      <c r="CG105" s="14">
        <v>0</v>
      </c>
      <c r="CH105" s="14">
        <v>1</v>
      </c>
      <c r="CI105" s="14">
        <v>0</v>
      </c>
      <c r="CJ105" s="14">
        <v>0</v>
      </c>
      <c r="CK105" s="14">
        <v>0</v>
      </c>
      <c r="CL105" s="14">
        <v>0</v>
      </c>
      <c r="CM105" s="40" t="s">
        <v>77</v>
      </c>
      <c r="CN105" s="41"/>
      <c r="CO105" s="41"/>
      <c r="CP105" s="41"/>
      <c r="CQ105" s="41"/>
      <c r="CR105" s="41"/>
      <c r="CS105" s="41"/>
      <c r="CT105" s="43"/>
    </row>
    <row r="106" spans="1:98" ht="15" customHeight="1" x14ac:dyDescent="0.25"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O106" s="14">
        <v>0</v>
      </c>
      <c r="BP106" s="14">
        <v>1</v>
      </c>
      <c r="BQ106" s="14">
        <v>0</v>
      </c>
      <c r="BR106" s="14">
        <v>1</v>
      </c>
      <c r="BS106" s="14">
        <v>0</v>
      </c>
      <c r="BT106" s="14">
        <v>1</v>
      </c>
      <c r="BU106" s="14">
        <v>0</v>
      </c>
      <c r="BV106" s="14">
        <v>0</v>
      </c>
      <c r="BW106" s="33" t="str">
        <f>"{{"&amp;BW103&amp;"}"&amp;", "&amp;$I$1&amp;"},  //"&amp;BW105&amp;":"&amp;CA101&amp;":"&amp;CC101</f>
        <v>{{0x0, 0x7F, 0x20, 0x1C, 0x20, 0x7F, 0x0, 0x0}, 8},  //W:0:87</v>
      </c>
      <c r="BX106" s="34"/>
      <c r="BY106" s="34"/>
      <c r="BZ106" s="34"/>
      <c r="CA106" s="34"/>
      <c r="CB106" s="34"/>
      <c r="CC106" s="34"/>
      <c r="CD106" s="35"/>
      <c r="CE106" s="14">
        <v>0</v>
      </c>
      <c r="CF106" s="14">
        <v>0</v>
      </c>
      <c r="CG106" s="14">
        <v>1</v>
      </c>
      <c r="CH106" s="14">
        <v>0</v>
      </c>
      <c r="CI106" s="14">
        <v>1</v>
      </c>
      <c r="CJ106" s="14">
        <v>0</v>
      </c>
      <c r="CK106" s="14">
        <v>0</v>
      </c>
      <c r="CL106" s="14">
        <v>0</v>
      </c>
      <c r="CM106" s="33" t="str">
        <f>"{{"&amp;CM103&amp;"}"&amp;", "&amp;$I$1&amp;"},  //"&amp;CM105&amp;":"&amp;CQ101&amp;":"&amp;CS101</f>
        <v>{{0x0, 0x63, 0x14, 0x8, 0x14, 0x63, 0x0, 0x0}, 8},  //X:0:88</v>
      </c>
      <c r="CN106" s="34"/>
      <c r="CO106" s="34"/>
      <c r="CP106" s="34"/>
      <c r="CQ106" s="34"/>
      <c r="CR106" s="34"/>
      <c r="CS106" s="34"/>
      <c r="CT106" s="35"/>
    </row>
    <row r="107" spans="1:98" x14ac:dyDescent="0.25"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O107" s="14">
        <v>0</v>
      </c>
      <c r="BP107" s="14">
        <v>1</v>
      </c>
      <c r="BQ107" s="14">
        <v>1</v>
      </c>
      <c r="BR107" s="14">
        <v>0</v>
      </c>
      <c r="BS107" s="14">
        <v>1</v>
      </c>
      <c r="BT107" s="14">
        <v>1</v>
      </c>
      <c r="BU107" s="14">
        <v>0</v>
      </c>
      <c r="BV107" s="14">
        <v>0</v>
      </c>
      <c r="BW107" s="33"/>
      <c r="BX107" s="34"/>
      <c r="BY107" s="34"/>
      <c r="BZ107" s="34"/>
      <c r="CA107" s="34"/>
      <c r="CB107" s="34"/>
      <c r="CC107" s="34"/>
      <c r="CD107" s="35"/>
      <c r="CE107" s="14">
        <v>0</v>
      </c>
      <c r="CF107" s="14">
        <v>1</v>
      </c>
      <c r="CG107" s="14">
        <v>0</v>
      </c>
      <c r="CH107" s="14">
        <v>0</v>
      </c>
      <c r="CI107" s="14">
        <v>0</v>
      </c>
      <c r="CJ107" s="14">
        <v>1</v>
      </c>
      <c r="CK107" s="14">
        <v>0</v>
      </c>
      <c r="CL107" s="14">
        <v>0</v>
      </c>
      <c r="CM107" s="33"/>
      <c r="CN107" s="34"/>
      <c r="CO107" s="34"/>
      <c r="CP107" s="34"/>
      <c r="CQ107" s="34"/>
      <c r="CR107" s="34"/>
      <c r="CS107" s="34"/>
      <c r="CT107" s="35"/>
    </row>
    <row r="108" spans="1:98" x14ac:dyDescent="0.25"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O108" s="14">
        <v>0</v>
      </c>
      <c r="BP108" s="14">
        <v>1</v>
      </c>
      <c r="BQ108" s="14">
        <v>0</v>
      </c>
      <c r="BR108" s="14">
        <v>0</v>
      </c>
      <c r="BS108" s="14">
        <v>0</v>
      </c>
      <c r="BT108" s="14">
        <v>1</v>
      </c>
      <c r="BU108" s="14">
        <v>0</v>
      </c>
      <c r="BV108" s="14">
        <v>0</v>
      </c>
      <c r="BW108" s="40" t="s">
        <v>48</v>
      </c>
      <c r="BX108" s="41"/>
      <c r="BY108" s="41"/>
      <c r="BZ108" s="41"/>
      <c r="CA108" s="44"/>
      <c r="CB108" s="44"/>
      <c r="CC108" s="44"/>
      <c r="CD108" s="45"/>
      <c r="CE108" s="14">
        <v>0</v>
      </c>
      <c r="CF108" s="14">
        <v>1</v>
      </c>
      <c r="CG108" s="14">
        <v>0</v>
      </c>
      <c r="CH108" s="14">
        <v>0</v>
      </c>
      <c r="CI108" s="14">
        <v>0</v>
      </c>
      <c r="CJ108" s="14">
        <v>1</v>
      </c>
      <c r="CK108" s="14">
        <v>0</v>
      </c>
      <c r="CL108" s="14">
        <v>0</v>
      </c>
      <c r="CM108" s="40" t="s">
        <v>48</v>
      </c>
      <c r="CN108" s="41"/>
      <c r="CO108" s="41"/>
      <c r="CP108" s="41"/>
      <c r="CQ108" s="44"/>
      <c r="CR108" s="44"/>
      <c r="CS108" s="44"/>
      <c r="CT108" s="45"/>
    </row>
    <row r="109" spans="1:98" x14ac:dyDescent="0.25">
      <c r="A109" s="1"/>
      <c r="B109" s="1"/>
      <c r="C109" s="1"/>
      <c r="D109" s="1"/>
      <c r="E109" s="1"/>
      <c r="F109" s="1"/>
      <c r="G109" s="1"/>
      <c r="H109" s="1"/>
      <c r="Q109" s="1"/>
      <c r="R109" s="1"/>
      <c r="S109" s="1"/>
      <c r="T109" s="1"/>
      <c r="U109" s="1"/>
      <c r="V109" s="1"/>
      <c r="W109" s="1"/>
      <c r="X109" s="1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2"/>
      <c r="BX109" s="12"/>
      <c r="BY109" s="12"/>
      <c r="BZ109" s="12"/>
      <c r="CA109" s="12"/>
      <c r="CB109" s="12"/>
      <c r="CC109" s="12"/>
      <c r="CD109" s="12"/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15">
        <v>0</v>
      </c>
      <c r="CK109" s="15">
        <v>0</v>
      </c>
      <c r="CL109" s="15">
        <v>0</v>
      </c>
      <c r="CM109" s="12"/>
      <c r="CN109" s="12"/>
      <c r="CO109" s="12"/>
      <c r="CP109" s="12"/>
      <c r="CQ109" s="12"/>
      <c r="CR109" s="12"/>
      <c r="CS109" s="12"/>
      <c r="CT109" s="12"/>
    </row>
    <row r="110" spans="1:98" s="5" customFormat="1" x14ac:dyDescent="0.25">
      <c r="A110" s="6">
        <v>1</v>
      </c>
      <c r="B110" s="6">
        <v>2</v>
      </c>
      <c r="C110" s="6">
        <v>3</v>
      </c>
      <c r="D110" s="6">
        <v>4</v>
      </c>
      <c r="E110" s="6">
        <v>5</v>
      </c>
      <c r="F110" s="6">
        <v>6</v>
      </c>
      <c r="G110" s="6">
        <v>7</v>
      </c>
      <c r="H110" s="6">
        <v>8</v>
      </c>
      <c r="I110" s="50" t="s">
        <v>0</v>
      </c>
      <c r="J110" s="50"/>
      <c r="K110" s="50"/>
      <c r="L110" s="50"/>
      <c r="M110" s="49">
        <v>0</v>
      </c>
      <c r="N110" s="49"/>
      <c r="O110" s="49">
        <v>32</v>
      </c>
      <c r="P110" s="49"/>
      <c r="Q110" s="6">
        <v>1</v>
      </c>
      <c r="R110" s="6">
        <v>2</v>
      </c>
      <c r="S110" s="6">
        <v>3</v>
      </c>
      <c r="T110" s="6">
        <v>4</v>
      </c>
      <c r="U110" s="6">
        <v>5</v>
      </c>
      <c r="V110" s="6">
        <v>6</v>
      </c>
      <c r="W110" s="6">
        <v>7</v>
      </c>
      <c r="X110" s="6">
        <v>8</v>
      </c>
      <c r="Y110" s="50" t="s">
        <v>0</v>
      </c>
      <c r="Z110" s="50"/>
      <c r="AA110" s="50"/>
      <c r="AB110" s="50"/>
      <c r="AC110" s="49">
        <v>0</v>
      </c>
      <c r="AD110" s="49"/>
      <c r="AE110" s="49">
        <v>33</v>
      </c>
      <c r="AF110" s="49"/>
      <c r="AG110" s="7">
        <v>1</v>
      </c>
      <c r="AH110" s="7">
        <v>2</v>
      </c>
      <c r="AI110" s="7">
        <v>3</v>
      </c>
      <c r="AJ110" s="7">
        <v>4</v>
      </c>
      <c r="AK110" s="7">
        <v>5</v>
      </c>
      <c r="AL110" s="7">
        <v>6</v>
      </c>
      <c r="AM110" s="7">
        <v>7</v>
      </c>
      <c r="AN110" s="7">
        <v>8</v>
      </c>
      <c r="AO110" s="50" t="s">
        <v>0</v>
      </c>
      <c r="AP110" s="50"/>
      <c r="AQ110" s="50"/>
      <c r="AR110" s="50"/>
      <c r="AS110" s="49">
        <v>0</v>
      </c>
      <c r="AT110" s="49"/>
      <c r="AU110" s="49">
        <v>34</v>
      </c>
      <c r="AV110" s="49"/>
      <c r="AW110" s="7">
        <v>1</v>
      </c>
      <c r="AX110" s="7">
        <v>2</v>
      </c>
      <c r="AY110" s="7">
        <v>3</v>
      </c>
      <c r="AZ110" s="7">
        <v>4</v>
      </c>
      <c r="BA110" s="7">
        <v>5</v>
      </c>
      <c r="BB110" s="7">
        <v>6</v>
      </c>
      <c r="BC110" s="7">
        <v>7</v>
      </c>
      <c r="BD110" s="7">
        <v>8</v>
      </c>
      <c r="BE110" s="50" t="s">
        <v>0</v>
      </c>
      <c r="BF110" s="50"/>
      <c r="BG110" s="50"/>
      <c r="BH110" s="50"/>
      <c r="BI110" s="49">
        <v>0</v>
      </c>
      <c r="BJ110" s="49"/>
      <c r="BK110" s="49">
        <v>35</v>
      </c>
      <c r="BL110" s="49"/>
      <c r="BM110" s="20"/>
      <c r="BN110" s="20"/>
      <c r="BO110" s="10">
        <v>1</v>
      </c>
      <c r="BP110" s="10">
        <v>2</v>
      </c>
      <c r="BQ110" s="10">
        <v>3</v>
      </c>
      <c r="BR110" s="10">
        <v>4</v>
      </c>
      <c r="BS110" s="10">
        <v>5</v>
      </c>
      <c r="BT110" s="10">
        <v>6</v>
      </c>
      <c r="BU110" s="10">
        <v>7</v>
      </c>
      <c r="BV110" s="10">
        <v>8</v>
      </c>
      <c r="BW110" s="38" t="s">
        <v>0</v>
      </c>
      <c r="BX110" s="38"/>
      <c r="BY110" s="38"/>
      <c r="BZ110" s="38"/>
      <c r="CA110" s="39">
        <v>0</v>
      </c>
      <c r="CB110" s="39"/>
      <c r="CC110" s="39">
        <v>89</v>
      </c>
      <c r="CD110" s="39"/>
      <c r="CE110" s="10">
        <v>1</v>
      </c>
      <c r="CF110" s="10">
        <v>2</v>
      </c>
      <c r="CG110" s="10">
        <v>3</v>
      </c>
      <c r="CH110" s="10">
        <v>4</v>
      </c>
      <c r="CI110" s="10">
        <v>5</v>
      </c>
      <c r="CJ110" s="10">
        <v>6</v>
      </c>
      <c r="CK110" s="10">
        <v>7</v>
      </c>
      <c r="CL110" s="10">
        <v>8</v>
      </c>
      <c r="CM110" s="38" t="s">
        <v>0</v>
      </c>
      <c r="CN110" s="38"/>
      <c r="CO110" s="38"/>
      <c r="CP110" s="38"/>
      <c r="CQ110" s="39">
        <v>0</v>
      </c>
      <c r="CR110" s="39"/>
      <c r="CS110" s="39">
        <v>90</v>
      </c>
      <c r="CT110" s="39"/>
    </row>
    <row r="111" spans="1:98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4" t="str">
        <f>BIN2HEX(A118&amp;A117&amp;A116&amp;A115&amp;A114&amp;A113&amp;A112&amp;A111)</f>
        <v>0</v>
      </c>
      <c r="J111" s="4" t="str">
        <f t="shared" ref="J111" si="328">BIN2HEX(B118&amp;B117&amp;B116&amp;B115&amp;B114&amp;B113&amp;B112&amp;B111)</f>
        <v>0</v>
      </c>
      <c r="K111" s="4" t="str">
        <f t="shared" ref="K111" si="329">BIN2HEX(C118&amp;C117&amp;C116&amp;C115&amp;C114&amp;C113&amp;C112&amp;C111)</f>
        <v>0</v>
      </c>
      <c r="L111" s="4" t="str">
        <f t="shared" ref="L111" si="330">BIN2HEX(D118&amp;D117&amp;D116&amp;D115&amp;D114&amp;D113&amp;D112&amp;D111)</f>
        <v>0</v>
      </c>
      <c r="M111" s="4" t="str">
        <f t="shared" ref="M111" si="331">BIN2HEX(E118&amp;E117&amp;E116&amp;E115&amp;E114&amp;E113&amp;E112&amp;E111)</f>
        <v>0</v>
      </c>
      <c r="N111" s="4" t="str">
        <f t="shared" ref="N111" si="332">BIN2HEX(F118&amp;F117&amp;F116&amp;F115&amp;F114&amp;F113&amp;F112&amp;F111)</f>
        <v>0</v>
      </c>
      <c r="O111" s="4" t="str">
        <f t="shared" ref="O111" si="333">BIN2HEX(G118&amp;G117&amp;G116&amp;G115&amp;G114&amp;G113&amp;G112&amp;G111)</f>
        <v>0</v>
      </c>
      <c r="P111" s="4" t="str">
        <f>BIN2HEX(H118&amp;H117&amp;H116&amp;H115&amp;H114&amp;H113&amp;H112&amp;H111)</f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0</v>
      </c>
      <c r="W111" s="2">
        <v>0</v>
      </c>
      <c r="X111" s="2">
        <v>0</v>
      </c>
      <c r="Y111" s="4" t="str">
        <f>BIN2HEX(Q118&amp;Q117&amp;Q116&amp;Q115&amp;Q114&amp;Q113&amp;Q112&amp;Q111)</f>
        <v>0</v>
      </c>
      <c r="Z111" s="4" t="str">
        <f t="shared" ref="Z111" si="334">BIN2HEX(R118&amp;R117&amp;R116&amp;R115&amp;R114&amp;R113&amp;R112&amp;R111)</f>
        <v>0</v>
      </c>
      <c r="AA111" s="4" t="str">
        <f t="shared" ref="AA111" si="335">BIN2HEX(S118&amp;S117&amp;S116&amp;S115&amp;S114&amp;S113&amp;S112&amp;S111)</f>
        <v>0</v>
      </c>
      <c r="AB111" s="4" t="str">
        <f t="shared" ref="AB111" si="336">BIN2HEX(T118&amp;T117&amp;T116&amp;T115&amp;T114&amp;T113&amp;T112&amp;T111)</f>
        <v>5F</v>
      </c>
      <c r="AC111" s="4" t="str">
        <f t="shared" ref="AC111" si="337">BIN2HEX(U118&amp;U117&amp;U116&amp;U115&amp;U114&amp;U113&amp;U112&amp;U111)</f>
        <v>0</v>
      </c>
      <c r="AD111" s="4" t="str">
        <f t="shared" ref="AD111" si="338">BIN2HEX(V118&amp;V117&amp;V116&amp;V115&amp;V114&amp;V113&amp;V112&amp;V111)</f>
        <v>0</v>
      </c>
      <c r="AE111" s="4" t="str">
        <f t="shared" ref="AE111" si="339">BIN2HEX(W118&amp;W117&amp;W116&amp;W115&amp;W114&amp;W113&amp;W112&amp;W111)</f>
        <v>0</v>
      </c>
      <c r="AF111" s="3" t="str">
        <f>BIN2HEX(X118&amp;X117&amp;X116&amp;X115&amp;X114&amp;X113&amp;X112&amp;X111)</f>
        <v>0</v>
      </c>
      <c r="AG111" s="2">
        <v>0</v>
      </c>
      <c r="AH111" s="2">
        <v>0</v>
      </c>
      <c r="AI111" s="2">
        <v>1</v>
      </c>
      <c r="AJ111" s="2">
        <v>0</v>
      </c>
      <c r="AK111" s="2">
        <v>1</v>
      </c>
      <c r="AL111" s="2">
        <v>0</v>
      </c>
      <c r="AM111" s="2">
        <v>0</v>
      </c>
      <c r="AN111" s="2">
        <v>0</v>
      </c>
      <c r="AO111" s="4" t="str">
        <f>BIN2HEX(AG118&amp;AG117&amp;AG116&amp;AG115&amp;AG114&amp;AG113&amp;AG112&amp;AG111)</f>
        <v>0</v>
      </c>
      <c r="AP111" s="4" t="str">
        <f t="shared" ref="AP111" si="340">BIN2HEX(AH118&amp;AH117&amp;AH116&amp;AH115&amp;AH114&amp;AH113&amp;AH112&amp;AH111)</f>
        <v>0</v>
      </c>
      <c r="AQ111" s="4" t="str">
        <f t="shared" ref="AQ111" si="341">BIN2HEX(AI118&amp;AI117&amp;AI116&amp;AI115&amp;AI114&amp;AI113&amp;AI112&amp;AI111)</f>
        <v>3</v>
      </c>
      <c r="AR111" s="4" t="str">
        <f t="shared" ref="AR111" si="342">BIN2HEX(AJ118&amp;AJ117&amp;AJ116&amp;AJ115&amp;AJ114&amp;AJ113&amp;AJ112&amp;AJ111)</f>
        <v>0</v>
      </c>
      <c r="AS111" s="4" t="str">
        <f t="shared" ref="AS111" si="343">BIN2HEX(AK118&amp;AK117&amp;AK116&amp;AK115&amp;AK114&amp;AK113&amp;AK112&amp;AK111)</f>
        <v>3</v>
      </c>
      <c r="AT111" s="4" t="str">
        <f t="shared" ref="AT111" si="344">BIN2HEX(AL118&amp;AL117&amp;AL116&amp;AL115&amp;AL114&amp;AL113&amp;AL112&amp;AL111)</f>
        <v>0</v>
      </c>
      <c r="AU111" s="4" t="str">
        <f t="shared" ref="AU111" si="345">BIN2HEX(AM118&amp;AM117&amp;AM116&amp;AM115&amp;AM114&amp;AM113&amp;AM112&amp;AM111)</f>
        <v>0</v>
      </c>
      <c r="AV111" s="4" t="str">
        <f>BIN2HEX(AN118&amp;AN117&amp;AN116&amp;AN115&amp;AN114&amp;AN113&amp;AN112&amp;AN111)</f>
        <v>0</v>
      </c>
      <c r="AW111" s="2">
        <v>0</v>
      </c>
      <c r="AX111" s="2">
        <v>0</v>
      </c>
      <c r="AY111" s="2">
        <v>1</v>
      </c>
      <c r="AZ111" s="2">
        <v>0</v>
      </c>
      <c r="BA111" s="2">
        <v>1</v>
      </c>
      <c r="BB111" s="2">
        <v>0</v>
      </c>
      <c r="BC111" s="2">
        <v>0</v>
      </c>
      <c r="BD111" s="2">
        <v>0</v>
      </c>
      <c r="BE111" s="4" t="str">
        <f>BIN2HEX(AW118&amp;AW117&amp;AW116&amp;AW115&amp;AW114&amp;AW113&amp;AW112&amp;AW111)</f>
        <v>0</v>
      </c>
      <c r="BF111" s="4" t="str">
        <f t="shared" ref="BF111" si="346">BIN2HEX(AX118&amp;AX117&amp;AX116&amp;AX115&amp;AX114&amp;AX113&amp;AX112&amp;AX111)</f>
        <v>14</v>
      </c>
      <c r="BG111" s="4" t="str">
        <f t="shared" ref="BG111" si="347">BIN2HEX(AY118&amp;AY117&amp;AY116&amp;AY115&amp;AY114&amp;AY113&amp;AY112&amp;AY111)</f>
        <v>7F</v>
      </c>
      <c r="BH111" s="4" t="str">
        <f t="shared" ref="BH111" si="348">BIN2HEX(AZ118&amp;AZ117&amp;AZ116&amp;AZ115&amp;AZ114&amp;AZ113&amp;AZ112&amp;AZ111)</f>
        <v>14</v>
      </c>
      <c r="BI111" s="4" t="str">
        <f t="shared" ref="BI111" si="349">BIN2HEX(BA118&amp;BA117&amp;BA116&amp;BA115&amp;BA114&amp;BA113&amp;BA112&amp;BA111)</f>
        <v>7F</v>
      </c>
      <c r="BJ111" s="4" t="str">
        <f t="shared" ref="BJ111" si="350">BIN2HEX(BB118&amp;BB117&amp;BB116&amp;BB115&amp;BB114&amp;BB113&amp;BB112&amp;BB111)</f>
        <v>14</v>
      </c>
      <c r="BK111" s="4" t="str">
        <f t="shared" ref="BK111" si="351">BIN2HEX(BC118&amp;BC117&amp;BC116&amp;BC115&amp;BC114&amp;BC113&amp;BC112&amp;BC111)</f>
        <v>0</v>
      </c>
      <c r="BL111" s="4" t="str">
        <f>BIN2HEX(BD118&amp;BD117&amp;BD116&amp;BD115&amp;BD114&amp;BD113&amp;BD112&amp;BD111)</f>
        <v>0</v>
      </c>
      <c r="BO111" s="11">
        <v>0</v>
      </c>
      <c r="BP111" s="11">
        <v>1</v>
      </c>
      <c r="BQ111" s="11">
        <v>0</v>
      </c>
      <c r="BR111" s="11">
        <v>0</v>
      </c>
      <c r="BS111" s="11">
        <v>0</v>
      </c>
      <c r="BT111" s="11">
        <v>1</v>
      </c>
      <c r="BU111" s="11">
        <v>0</v>
      </c>
      <c r="BV111" s="11">
        <v>0</v>
      </c>
      <c r="BW111" s="12" t="str">
        <f>BIN2HEX(BO118&amp;BO117&amp;BO116&amp;BO115&amp;BO114&amp;BO113&amp;BO112&amp;BO111)</f>
        <v>0</v>
      </c>
      <c r="BX111" s="12" t="str">
        <f t="shared" ref="BX111" si="352">BIN2HEX(BP118&amp;BP117&amp;BP116&amp;BP115&amp;BP114&amp;BP113&amp;BP112&amp;BP111)</f>
        <v>3</v>
      </c>
      <c r="BY111" s="12" t="str">
        <f t="shared" ref="BY111" si="353">BIN2HEX(BQ118&amp;BQ117&amp;BQ116&amp;BQ115&amp;BQ114&amp;BQ113&amp;BQ112&amp;BQ111)</f>
        <v>4</v>
      </c>
      <c r="BZ111" s="12" t="str">
        <f t="shared" ref="BZ111" si="354">BIN2HEX(BR118&amp;BR117&amp;BR116&amp;BR115&amp;BR114&amp;BR113&amp;BR112&amp;BR111)</f>
        <v>78</v>
      </c>
      <c r="CA111" s="12" t="str">
        <f t="shared" ref="CA111" si="355">BIN2HEX(BS118&amp;BS117&amp;BS116&amp;BS115&amp;BS114&amp;BS113&amp;BS112&amp;BS111)</f>
        <v>4</v>
      </c>
      <c r="CB111" s="12" t="str">
        <f>BIN2HEX(BT118&amp;BT117&amp;BT116&amp;BT115&amp;BT114&amp;BT113&amp;BT112&amp;BT111)</f>
        <v>3</v>
      </c>
      <c r="CC111" s="12" t="str">
        <f>BIN2HEX(BU118&amp;BU117&amp;BU116&amp;BU115&amp;BU114&amp;BU113&amp;BU112&amp;BU111)</f>
        <v>0</v>
      </c>
      <c r="CD111" s="12" t="str">
        <f>BIN2HEX(BV118&amp;BV117&amp;BV116&amp;BV115&amp;BV114&amp;BV113&amp;BV112&amp;BV111)</f>
        <v>0</v>
      </c>
      <c r="CE111" s="11">
        <v>0</v>
      </c>
      <c r="CF111" s="11">
        <v>1</v>
      </c>
      <c r="CG111" s="11">
        <v>1</v>
      </c>
      <c r="CH111" s="11">
        <v>1</v>
      </c>
      <c r="CI111" s="11">
        <v>1</v>
      </c>
      <c r="CJ111" s="11">
        <v>1</v>
      </c>
      <c r="CK111" s="11">
        <v>0</v>
      </c>
      <c r="CL111" s="11">
        <v>0</v>
      </c>
      <c r="CM111" s="12" t="str">
        <f>BIN2HEX(CE118&amp;CE117&amp;CE116&amp;CE115&amp;CE114&amp;CE113&amp;CE112&amp;CE111)</f>
        <v>0</v>
      </c>
      <c r="CN111" s="12" t="str">
        <f t="shared" ref="CN111" si="356">BIN2HEX(CF118&amp;CF117&amp;CF116&amp;CF115&amp;CF114&amp;CF113&amp;CF112&amp;CF111)</f>
        <v>61</v>
      </c>
      <c r="CO111" s="12" t="str">
        <f t="shared" ref="CO111" si="357">BIN2HEX(CG118&amp;CG117&amp;CG116&amp;CG115&amp;CG114&amp;CG113&amp;CG112&amp;CG111)</f>
        <v>51</v>
      </c>
      <c r="CP111" s="12" t="str">
        <f t="shared" ref="CP111" si="358">BIN2HEX(CH118&amp;CH117&amp;CH116&amp;CH115&amp;CH114&amp;CH113&amp;CH112&amp;CH111)</f>
        <v>49</v>
      </c>
      <c r="CQ111" s="12" t="str">
        <f t="shared" ref="CQ111" si="359">BIN2HEX(CI118&amp;CI117&amp;CI116&amp;CI115&amp;CI114&amp;CI113&amp;CI112&amp;CI111)</f>
        <v>45</v>
      </c>
      <c r="CR111" s="12" t="str">
        <f t="shared" ref="CR111" si="360">BIN2HEX(CJ118&amp;CJ117&amp;CJ116&amp;CJ115&amp;CJ114&amp;CJ113&amp;CJ112&amp;CJ111)</f>
        <v>43</v>
      </c>
      <c r="CS111" s="12" t="str">
        <f t="shared" ref="CS111" si="361">BIN2HEX(CK118&amp;CK117&amp;CK116&amp;CK115&amp;CK114&amp;CK113&amp;CK112&amp;CK111)</f>
        <v>0</v>
      </c>
      <c r="CT111" s="12" t="str">
        <f>BIN2HEX(CL118&amp;CL117&amp;CL116&amp;CL115&amp;CL114&amp;CL113&amp;CL112&amp;CL111)</f>
        <v>0</v>
      </c>
    </row>
    <row r="112" spans="1:98" x14ac:dyDescent="0.2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46" t="str">
        <f>"0x"&amp;I111&amp;", 0x"&amp;J111&amp;", 0x"&amp;K111&amp;", 0x"&amp;L111&amp;", 0x"&amp;M111&amp;", 0x"&amp;N111&amp;", 0x"&amp;O111&amp;", 0x"&amp;P111</f>
        <v>0x0, 0x0, 0x0, 0x0, 0x0, 0x0, 0x0, 0x0</v>
      </c>
      <c r="J112" s="47"/>
      <c r="K112" s="47"/>
      <c r="L112" s="47"/>
      <c r="M112" s="47"/>
      <c r="N112" s="47"/>
      <c r="O112" s="47"/>
      <c r="P112" s="47"/>
      <c r="Q112" s="5">
        <v>0</v>
      </c>
      <c r="R112" s="2">
        <v>0</v>
      </c>
      <c r="S112" s="2">
        <v>0</v>
      </c>
      <c r="T112" s="5">
        <v>1</v>
      </c>
      <c r="U112" s="2">
        <v>0</v>
      </c>
      <c r="V112" s="2">
        <v>0</v>
      </c>
      <c r="W112" s="2">
        <v>0</v>
      </c>
      <c r="X112" s="2">
        <v>0</v>
      </c>
      <c r="Y112" s="46" t="str">
        <f>"0x"&amp;Y111&amp;", 0x"&amp;Z111&amp;", 0x"&amp;AA111&amp;", 0x"&amp;AB111&amp;", 0x"&amp;AC111&amp;", 0x"&amp;AD111&amp;", 0x"&amp;AE111&amp;", 0x"&amp;AF111</f>
        <v>0x0, 0x0, 0x0, 0x5F, 0x0, 0x0, 0x0, 0x0</v>
      </c>
      <c r="Z112" s="47"/>
      <c r="AA112" s="47"/>
      <c r="AB112" s="47"/>
      <c r="AC112" s="47"/>
      <c r="AD112" s="47"/>
      <c r="AE112" s="47"/>
      <c r="AF112" s="48"/>
      <c r="AG112" s="5">
        <v>0</v>
      </c>
      <c r="AH112" s="2">
        <v>0</v>
      </c>
      <c r="AI112" s="5">
        <v>1</v>
      </c>
      <c r="AJ112" s="2">
        <v>0</v>
      </c>
      <c r="AK112" s="5">
        <v>1</v>
      </c>
      <c r="AL112" s="2">
        <v>0</v>
      </c>
      <c r="AM112" s="2">
        <v>0</v>
      </c>
      <c r="AN112" s="2">
        <v>0</v>
      </c>
      <c r="AO112" s="46" t="str">
        <f>"0x"&amp;AO111&amp;", 0x"&amp;AP111&amp;", 0x"&amp;AQ111&amp;", 0x"&amp;AR111&amp;", 0x"&amp;AS111&amp;", 0x"&amp;AT111&amp;", 0x"&amp;AU111&amp;", 0x"&amp;AV111</f>
        <v>0x0, 0x0, 0x3, 0x0, 0x3, 0x0, 0x0, 0x0</v>
      </c>
      <c r="AP112" s="47"/>
      <c r="AQ112" s="47"/>
      <c r="AR112" s="47"/>
      <c r="AS112" s="47"/>
      <c r="AT112" s="47"/>
      <c r="AU112" s="47"/>
      <c r="AV112" s="47"/>
      <c r="AW112" s="2">
        <v>0</v>
      </c>
      <c r="AX112" s="2">
        <v>0</v>
      </c>
      <c r="AY112" s="2">
        <v>1</v>
      </c>
      <c r="AZ112" s="2">
        <v>0</v>
      </c>
      <c r="BA112" s="2">
        <v>1</v>
      </c>
      <c r="BB112" s="2">
        <v>0</v>
      </c>
      <c r="BC112" s="2">
        <v>0</v>
      </c>
      <c r="BD112" s="2">
        <v>0</v>
      </c>
      <c r="BE112" s="46" t="str">
        <f>"0x"&amp;BE111&amp;", 0x"&amp;BF111&amp;", 0x"&amp;BG111&amp;", 0x"&amp;BH111&amp;", 0x"&amp;BI111&amp;", 0x"&amp;BJ111&amp;", 0x"&amp;BK111&amp;", 0x"&amp;BL111</f>
        <v>0x0, 0x14, 0x7F, 0x14, 0x7F, 0x14, 0x0, 0x0</v>
      </c>
      <c r="BF112" s="47"/>
      <c r="BG112" s="47"/>
      <c r="BH112" s="47"/>
      <c r="BI112" s="47"/>
      <c r="BJ112" s="47"/>
      <c r="BK112" s="47"/>
      <c r="BL112" s="48"/>
      <c r="BO112" s="14">
        <v>0</v>
      </c>
      <c r="BP112" s="14">
        <v>1</v>
      </c>
      <c r="BQ112" s="14">
        <v>0</v>
      </c>
      <c r="BR112" s="14">
        <v>0</v>
      </c>
      <c r="BS112" s="14">
        <v>0</v>
      </c>
      <c r="BT112" s="14">
        <v>1</v>
      </c>
      <c r="BU112" s="14">
        <v>0</v>
      </c>
      <c r="BV112" s="14">
        <v>0</v>
      </c>
      <c r="BW112" s="36" t="str">
        <f>"0x"&amp;BW111&amp;", 0x"&amp;BX111&amp;", 0x"&amp;BY111&amp;", 0x"&amp;BZ111&amp;", 0x"&amp;CA111&amp;", 0x"&amp;CB111&amp;", 0x"&amp;CC111&amp;", 0x"&amp;CD111</f>
        <v>0x0, 0x3, 0x4, 0x78, 0x4, 0x3, 0x0, 0x0</v>
      </c>
      <c r="BX112" s="34"/>
      <c r="BY112" s="34"/>
      <c r="BZ112" s="34"/>
      <c r="CA112" s="34"/>
      <c r="CB112" s="34"/>
      <c r="CC112" s="34"/>
      <c r="CD112" s="37"/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1</v>
      </c>
      <c r="CK112" s="14">
        <v>0</v>
      </c>
      <c r="CL112" s="14">
        <v>0</v>
      </c>
      <c r="CM112" s="36" t="str">
        <f>"0x"&amp;CM111&amp;", 0x"&amp;CN111&amp;", 0x"&amp;CO111&amp;", 0x"&amp;CP111&amp;", 0x"&amp;CQ111&amp;", 0x"&amp;CR111&amp;", 0x"&amp;CS111&amp;", 0x"&amp;CT111</f>
        <v>0x0, 0x61, 0x51, 0x49, 0x45, 0x43, 0x0, 0x0</v>
      </c>
      <c r="CN112" s="34"/>
      <c r="CO112" s="34"/>
      <c r="CP112" s="34"/>
      <c r="CQ112" s="34"/>
      <c r="CR112" s="34"/>
      <c r="CS112" s="34"/>
      <c r="CT112" s="37"/>
    </row>
    <row r="113" spans="1:98" x14ac:dyDescent="0.25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46"/>
      <c r="J113" s="47"/>
      <c r="K113" s="47"/>
      <c r="L113" s="47"/>
      <c r="M113" s="47"/>
      <c r="N113" s="47"/>
      <c r="O113" s="47"/>
      <c r="P113" s="47"/>
      <c r="Q113" s="5">
        <v>0</v>
      </c>
      <c r="R113" s="2">
        <v>0</v>
      </c>
      <c r="S113" s="2">
        <v>0</v>
      </c>
      <c r="T113" s="5">
        <v>1</v>
      </c>
      <c r="U113" s="2">
        <v>0</v>
      </c>
      <c r="V113" s="2">
        <v>0</v>
      </c>
      <c r="W113" s="2">
        <v>0</v>
      </c>
      <c r="X113" s="2">
        <v>0</v>
      </c>
      <c r="Y113" s="46"/>
      <c r="Z113" s="47"/>
      <c r="AA113" s="47"/>
      <c r="AB113" s="47"/>
      <c r="AC113" s="47"/>
      <c r="AD113" s="47"/>
      <c r="AE113" s="47"/>
      <c r="AF113" s="48"/>
      <c r="AG113" s="5">
        <v>0</v>
      </c>
      <c r="AH113" s="2">
        <v>0</v>
      </c>
      <c r="AI113" s="5">
        <v>0</v>
      </c>
      <c r="AJ113" s="2">
        <v>0</v>
      </c>
      <c r="AK113" s="5">
        <v>0</v>
      </c>
      <c r="AL113" s="2">
        <v>0</v>
      </c>
      <c r="AM113" s="2">
        <v>0</v>
      </c>
      <c r="AN113" s="2">
        <v>0</v>
      </c>
      <c r="AO113" s="46"/>
      <c r="AP113" s="47"/>
      <c r="AQ113" s="47"/>
      <c r="AR113" s="47"/>
      <c r="AS113" s="47"/>
      <c r="AT113" s="47"/>
      <c r="AU113" s="47"/>
      <c r="AV113" s="47"/>
      <c r="AW113" s="2">
        <v>0</v>
      </c>
      <c r="AX113" s="2">
        <v>1</v>
      </c>
      <c r="AY113" s="2">
        <v>1</v>
      </c>
      <c r="AZ113" s="2">
        <v>1</v>
      </c>
      <c r="BA113" s="2">
        <v>1</v>
      </c>
      <c r="BB113" s="2">
        <v>1</v>
      </c>
      <c r="BC113" s="2">
        <v>0</v>
      </c>
      <c r="BD113" s="2">
        <v>0</v>
      </c>
      <c r="BE113" s="46"/>
      <c r="BF113" s="47"/>
      <c r="BG113" s="47"/>
      <c r="BH113" s="47"/>
      <c r="BI113" s="47"/>
      <c r="BJ113" s="47"/>
      <c r="BK113" s="47"/>
      <c r="BL113" s="48"/>
      <c r="BO113" s="14">
        <v>0</v>
      </c>
      <c r="BP113" s="14">
        <v>0</v>
      </c>
      <c r="BQ113" s="14">
        <v>1</v>
      </c>
      <c r="BR113" s="14">
        <v>0</v>
      </c>
      <c r="BS113" s="14">
        <v>1</v>
      </c>
      <c r="BT113" s="14">
        <v>0</v>
      </c>
      <c r="BU113" s="14">
        <v>0</v>
      </c>
      <c r="BV113" s="14">
        <v>0</v>
      </c>
      <c r="BW113" s="36"/>
      <c r="BX113" s="34"/>
      <c r="BY113" s="34"/>
      <c r="BZ113" s="34"/>
      <c r="CA113" s="34"/>
      <c r="CB113" s="34"/>
      <c r="CC113" s="34"/>
      <c r="CD113" s="37"/>
      <c r="CE113" s="14">
        <v>0</v>
      </c>
      <c r="CF113" s="14">
        <v>0</v>
      </c>
      <c r="CG113" s="14">
        <v>0</v>
      </c>
      <c r="CH113" s="14">
        <v>0</v>
      </c>
      <c r="CI113" s="14">
        <v>1</v>
      </c>
      <c r="CJ113" s="14">
        <v>0</v>
      </c>
      <c r="CK113" s="14">
        <v>0</v>
      </c>
      <c r="CL113" s="14">
        <v>0</v>
      </c>
      <c r="CM113" s="36"/>
      <c r="CN113" s="34"/>
      <c r="CO113" s="34"/>
      <c r="CP113" s="34"/>
      <c r="CQ113" s="34"/>
      <c r="CR113" s="34"/>
      <c r="CS113" s="34"/>
      <c r="CT113" s="37"/>
    </row>
    <row r="114" spans="1:98" x14ac:dyDescent="0.25">
      <c r="A114" s="2">
        <v>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51"/>
      <c r="J114" s="52"/>
      <c r="K114" s="52"/>
      <c r="L114" s="52"/>
      <c r="M114" s="52"/>
      <c r="N114" s="52"/>
      <c r="O114" s="52"/>
      <c r="P114" s="53"/>
      <c r="Q114" s="5">
        <v>0</v>
      </c>
      <c r="R114" s="2">
        <v>0</v>
      </c>
      <c r="S114" s="2">
        <v>0</v>
      </c>
      <c r="T114" s="5">
        <v>1</v>
      </c>
      <c r="U114" s="2">
        <v>0</v>
      </c>
      <c r="V114" s="2">
        <v>0</v>
      </c>
      <c r="W114" s="2">
        <v>0</v>
      </c>
      <c r="X114" s="2">
        <v>0</v>
      </c>
      <c r="Y114" s="51" t="s">
        <v>33</v>
      </c>
      <c r="Z114" s="52"/>
      <c r="AA114" s="52"/>
      <c r="AB114" s="52"/>
      <c r="AC114" s="52"/>
      <c r="AD114" s="52"/>
      <c r="AE114" s="52"/>
      <c r="AF114" s="53"/>
      <c r="AG114" s="5">
        <v>0</v>
      </c>
      <c r="AH114" s="2">
        <v>0</v>
      </c>
      <c r="AI114" s="5">
        <v>0</v>
      </c>
      <c r="AJ114" s="2">
        <v>0</v>
      </c>
      <c r="AK114" s="5">
        <v>0</v>
      </c>
      <c r="AL114" s="2">
        <v>0</v>
      </c>
      <c r="AM114" s="2">
        <v>0</v>
      </c>
      <c r="AN114" s="2">
        <v>0</v>
      </c>
      <c r="AO114" s="51" t="s">
        <v>34</v>
      </c>
      <c r="AP114" s="52"/>
      <c r="AQ114" s="52"/>
      <c r="AR114" s="52"/>
      <c r="AS114" s="52"/>
      <c r="AT114" s="52"/>
      <c r="AU114" s="52"/>
      <c r="AV114" s="53"/>
      <c r="AW114" s="2">
        <v>0</v>
      </c>
      <c r="AX114" s="2">
        <v>0</v>
      </c>
      <c r="AY114" s="2">
        <v>1</v>
      </c>
      <c r="AZ114" s="2">
        <v>0</v>
      </c>
      <c r="BA114" s="2">
        <v>1</v>
      </c>
      <c r="BB114" s="2">
        <v>0</v>
      </c>
      <c r="BC114" s="2">
        <v>0</v>
      </c>
      <c r="BD114" s="2">
        <v>0</v>
      </c>
      <c r="BE114" s="51" t="s">
        <v>35</v>
      </c>
      <c r="BF114" s="52"/>
      <c r="BG114" s="52"/>
      <c r="BH114" s="52"/>
      <c r="BI114" s="52"/>
      <c r="BJ114" s="52"/>
      <c r="BK114" s="52"/>
      <c r="BL114" s="53"/>
      <c r="BO114" s="14">
        <v>0</v>
      </c>
      <c r="BP114" s="14">
        <v>0</v>
      </c>
      <c r="BQ114" s="14">
        <v>0</v>
      </c>
      <c r="BR114" s="14">
        <v>1</v>
      </c>
      <c r="BS114" s="14">
        <v>0</v>
      </c>
      <c r="BT114" s="14">
        <v>0</v>
      </c>
      <c r="BU114" s="14">
        <v>0</v>
      </c>
      <c r="BV114" s="14">
        <v>0</v>
      </c>
      <c r="BW114" s="40" t="s">
        <v>78</v>
      </c>
      <c r="BX114" s="41"/>
      <c r="BY114" s="41"/>
      <c r="BZ114" s="41"/>
      <c r="CA114" s="41"/>
      <c r="CB114" s="41"/>
      <c r="CC114" s="41"/>
      <c r="CD114" s="43"/>
      <c r="CE114" s="14">
        <v>0</v>
      </c>
      <c r="CF114" s="14">
        <v>0</v>
      </c>
      <c r="CG114" s="14">
        <v>0</v>
      </c>
      <c r="CH114" s="14">
        <v>1</v>
      </c>
      <c r="CI114" s="14">
        <v>0</v>
      </c>
      <c r="CJ114" s="14">
        <v>0</v>
      </c>
      <c r="CK114" s="14">
        <v>0</v>
      </c>
      <c r="CL114" s="14">
        <v>0</v>
      </c>
      <c r="CM114" s="40" t="s">
        <v>79</v>
      </c>
      <c r="CN114" s="41"/>
      <c r="CO114" s="41"/>
      <c r="CP114" s="41"/>
      <c r="CQ114" s="41"/>
      <c r="CR114" s="41"/>
      <c r="CS114" s="41"/>
      <c r="CT114" s="43"/>
    </row>
    <row r="115" spans="1:98" ht="15" customHeight="1" x14ac:dyDescent="0.2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3" t="str">
        <f>"{{"&amp;I112&amp;"}"&amp;", "&amp;$I$1&amp;"},  //"&amp;I114&amp;":"&amp;M110&amp;":"&amp;O110</f>
        <v>{{0x0, 0x0, 0x0, 0x0, 0x0, 0x0, 0x0, 0x0}, 8},  //:0:32</v>
      </c>
      <c r="J115" s="34"/>
      <c r="K115" s="34"/>
      <c r="L115" s="34"/>
      <c r="M115" s="34"/>
      <c r="N115" s="34"/>
      <c r="O115" s="34"/>
      <c r="P115" s="35"/>
      <c r="Q115" s="5">
        <v>0</v>
      </c>
      <c r="R115" s="2">
        <v>0</v>
      </c>
      <c r="S115" s="2">
        <v>0</v>
      </c>
      <c r="T115" s="5">
        <v>1</v>
      </c>
      <c r="U115" s="2">
        <v>0</v>
      </c>
      <c r="V115" s="2">
        <v>0</v>
      </c>
      <c r="W115" s="2">
        <v>0</v>
      </c>
      <c r="X115" s="2">
        <v>0</v>
      </c>
      <c r="Y115" s="33" t="str">
        <f>"{{"&amp;Y112&amp;"}"&amp;", "&amp;$I$1&amp;"},  //"&amp;Y114&amp;":"&amp;AC110&amp;":"&amp;AE110</f>
        <v>{{0x0, 0x0, 0x0, 0x5F, 0x0, 0x0, 0x0, 0x0}, 8},  //!:0:33</v>
      </c>
      <c r="Z115" s="34"/>
      <c r="AA115" s="34"/>
      <c r="AB115" s="34"/>
      <c r="AC115" s="34"/>
      <c r="AD115" s="34"/>
      <c r="AE115" s="34"/>
      <c r="AF115" s="35"/>
      <c r="AG115" s="5">
        <v>0</v>
      </c>
      <c r="AH115" s="2">
        <v>0</v>
      </c>
      <c r="AI115" s="5">
        <v>0</v>
      </c>
      <c r="AJ115" s="2">
        <v>0</v>
      </c>
      <c r="AK115" s="5">
        <v>0</v>
      </c>
      <c r="AL115" s="2">
        <v>0</v>
      </c>
      <c r="AM115" s="2">
        <v>0</v>
      </c>
      <c r="AN115" s="2">
        <v>0</v>
      </c>
      <c r="AO115" s="33" t="str">
        <f>"{{"&amp;AO112&amp;"}"&amp;", "&amp;$I$1&amp;"},  //"&amp;AO114&amp;":"&amp;AS110&amp;":"&amp;AU110</f>
        <v>{{0x0, 0x0, 0x3, 0x0, 0x3, 0x0, 0x0, 0x0}, 8},  //":0:34</v>
      </c>
      <c r="AP115" s="34"/>
      <c r="AQ115" s="34"/>
      <c r="AR115" s="34"/>
      <c r="AS115" s="34"/>
      <c r="AT115" s="34"/>
      <c r="AU115" s="34"/>
      <c r="AV115" s="35"/>
      <c r="AW115" s="2">
        <v>0</v>
      </c>
      <c r="AX115" s="2">
        <v>1</v>
      </c>
      <c r="AY115" s="2">
        <v>1</v>
      </c>
      <c r="AZ115" s="2">
        <v>1</v>
      </c>
      <c r="BA115" s="2">
        <v>1</v>
      </c>
      <c r="BB115" s="2">
        <v>1</v>
      </c>
      <c r="BC115" s="2">
        <v>0</v>
      </c>
      <c r="BD115" s="2">
        <v>0</v>
      </c>
      <c r="BE115" s="33" t="str">
        <f>"{{"&amp;BE112&amp;"}"&amp;", "&amp;$I$1&amp;"},  //"&amp;BE114&amp;":"&amp;BI110&amp;":"&amp;BK110</f>
        <v>{{0x0, 0x14, 0x7F, 0x14, 0x7F, 0x14, 0x0, 0x0}, 8},  //#:0:35</v>
      </c>
      <c r="BF115" s="34"/>
      <c r="BG115" s="34"/>
      <c r="BH115" s="34"/>
      <c r="BI115" s="34"/>
      <c r="BJ115" s="34"/>
      <c r="BK115" s="34"/>
      <c r="BL115" s="35"/>
      <c r="BO115" s="14">
        <v>0</v>
      </c>
      <c r="BP115" s="14">
        <v>0</v>
      </c>
      <c r="BQ115" s="14">
        <v>0</v>
      </c>
      <c r="BR115" s="14">
        <v>1</v>
      </c>
      <c r="BS115" s="14">
        <v>0</v>
      </c>
      <c r="BT115" s="14">
        <v>0</v>
      </c>
      <c r="BU115" s="14">
        <v>0</v>
      </c>
      <c r="BV115" s="14">
        <v>0</v>
      </c>
      <c r="BW115" s="33" t="str">
        <f>"{{"&amp;BW112&amp;"}"&amp;", "&amp;$I$1&amp;"},  //"&amp;BW114&amp;":"&amp;CA110&amp;":"&amp;CC110</f>
        <v>{{0x0, 0x3, 0x4, 0x78, 0x4, 0x3, 0x0, 0x0}, 8},  //Y:0:89</v>
      </c>
      <c r="BX115" s="34"/>
      <c r="BY115" s="34"/>
      <c r="BZ115" s="34"/>
      <c r="CA115" s="34"/>
      <c r="CB115" s="34"/>
      <c r="CC115" s="34"/>
      <c r="CD115" s="35"/>
      <c r="CE115" s="14">
        <v>0</v>
      </c>
      <c r="CF115" s="14">
        <v>0</v>
      </c>
      <c r="CG115" s="14">
        <v>1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33" t="str">
        <f>"{{"&amp;CM112&amp;"}"&amp;", "&amp;$I$1&amp;"},  //"&amp;CM114&amp;":"&amp;CQ110&amp;":"&amp;CS110</f>
        <v>{{0x0, 0x61, 0x51, 0x49, 0x45, 0x43, 0x0, 0x0}, 8},  //Z:0:90</v>
      </c>
      <c r="CN115" s="34"/>
      <c r="CO115" s="34"/>
      <c r="CP115" s="34"/>
      <c r="CQ115" s="34"/>
      <c r="CR115" s="34"/>
      <c r="CS115" s="34"/>
      <c r="CT115" s="35"/>
    </row>
    <row r="116" spans="1:98" x14ac:dyDescent="0.2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3"/>
      <c r="J116" s="34"/>
      <c r="K116" s="34"/>
      <c r="L116" s="34"/>
      <c r="M116" s="34"/>
      <c r="N116" s="34"/>
      <c r="O116" s="34"/>
      <c r="P116" s="35"/>
      <c r="Q116" s="5">
        <v>0</v>
      </c>
      <c r="R116" s="2">
        <v>0</v>
      </c>
      <c r="S116" s="2">
        <v>0</v>
      </c>
      <c r="T116" s="5">
        <v>0</v>
      </c>
      <c r="U116" s="2">
        <v>0</v>
      </c>
      <c r="V116" s="2">
        <v>0</v>
      </c>
      <c r="W116" s="2">
        <v>0</v>
      </c>
      <c r="X116" s="2">
        <v>0</v>
      </c>
      <c r="Y116" s="33"/>
      <c r="Z116" s="34"/>
      <c r="AA116" s="34"/>
      <c r="AB116" s="34"/>
      <c r="AC116" s="34"/>
      <c r="AD116" s="34"/>
      <c r="AE116" s="34"/>
      <c r="AF116" s="35"/>
      <c r="AG116" s="5">
        <v>0</v>
      </c>
      <c r="AH116" s="2">
        <v>0</v>
      </c>
      <c r="AI116" s="5">
        <v>0</v>
      </c>
      <c r="AJ116" s="2">
        <v>0</v>
      </c>
      <c r="AK116" s="5">
        <v>0</v>
      </c>
      <c r="AL116" s="2">
        <v>0</v>
      </c>
      <c r="AM116" s="2">
        <v>0</v>
      </c>
      <c r="AN116" s="2">
        <v>0</v>
      </c>
      <c r="AO116" s="33"/>
      <c r="AP116" s="34"/>
      <c r="AQ116" s="34"/>
      <c r="AR116" s="34"/>
      <c r="AS116" s="34"/>
      <c r="AT116" s="34"/>
      <c r="AU116" s="34"/>
      <c r="AV116" s="35"/>
      <c r="AW116" s="2">
        <v>0</v>
      </c>
      <c r="AX116" s="2">
        <v>0</v>
      </c>
      <c r="AY116" s="2">
        <v>1</v>
      </c>
      <c r="AZ116" s="2">
        <v>0</v>
      </c>
      <c r="BA116" s="2">
        <v>1</v>
      </c>
      <c r="BB116" s="2">
        <v>0</v>
      </c>
      <c r="BC116" s="2">
        <v>0</v>
      </c>
      <c r="BD116" s="2">
        <v>0</v>
      </c>
      <c r="BE116" s="33"/>
      <c r="BF116" s="34"/>
      <c r="BG116" s="34"/>
      <c r="BH116" s="34"/>
      <c r="BI116" s="34"/>
      <c r="BJ116" s="34"/>
      <c r="BK116" s="34"/>
      <c r="BL116" s="35"/>
      <c r="BO116" s="14">
        <v>0</v>
      </c>
      <c r="BP116" s="14">
        <v>0</v>
      </c>
      <c r="BQ116" s="14">
        <v>0</v>
      </c>
      <c r="BR116" s="14">
        <v>1</v>
      </c>
      <c r="BS116" s="14">
        <v>0</v>
      </c>
      <c r="BT116" s="14">
        <v>0</v>
      </c>
      <c r="BU116" s="14">
        <v>0</v>
      </c>
      <c r="BV116" s="14">
        <v>0</v>
      </c>
      <c r="BW116" s="33"/>
      <c r="BX116" s="34"/>
      <c r="BY116" s="34"/>
      <c r="BZ116" s="34"/>
      <c r="CA116" s="34"/>
      <c r="CB116" s="34"/>
      <c r="CC116" s="34"/>
      <c r="CD116" s="35"/>
      <c r="CE116" s="14">
        <v>0</v>
      </c>
      <c r="CF116" s="14">
        <v>1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33"/>
      <c r="CN116" s="34"/>
      <c r="CO116" s="34"/>
      <c r="CP116" s="34"/>
      <c r="CQ116" s="34"/>
      <c r="CR116" s="34"/>
      <c r="CS116" s="34"/>
      <c r="CT116" s="35"/>
    </row>
    <row r="117" spans="1:98" x14ac:dyDescent="0.2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Q117" s="5">
        <v>0</v>
      </c>
      <c r="R117" s="2">
        <v>0</v>
      </c>
      <c r="S117" s="2">
        <v>0</v>
      </c>
      <c r="T117" s="5">
        <v>1</v>
      </c>
      <c r="U117" s="2">
        <v>0</v>
      </c>
      <c r="V117" s="2">
        <v>0</v>
      </c>
      <c r="W117" s="2">
        <v>0</v>
      </c>
      <c r="X117" s="2">
        <v>0</v>
      </c>
      <c r="AG117" s="5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4"/>
      <c r="AP117" s="4"/>
      <c r="AQ117" s="4"/>
      <c r="AR117" s="4"/>
      <c r="AS117" s="4"/>
      <c r="AT117" s="4"/>
      <c r="AU117" s="4"/>
      <c r="AV117" s="4"/>
      <c r="AW117" s="2">
        <v>0</v>
      </c>
      <c r="AX117" s="2">
        <v>0</v>
      </c>
      <c r="AY117" s="2">
        <v>1</v>
      </c>
      <c r="AZ117" s="2">
        <v>0</v>
      </c>
      <c r="BA117" s="2">
        <v>1</v>
      </c>
      <c r="BB117" s="2">
        <v>0</v>
      </c>
      <c r="BC117" s="2">
        <v>0</v>
      </c>
      <c r="BD117" s="2">
        <v>0</v>
      </c>
      <c r="BE117" s="4"/>
      <c r="BF117" s="4"/>
      <c r="BG117" s="4"/>
      <c r="BH117" s="4"/>
      <c r="BI117" s="4"/>
      <c r="BJ117" s="4"/>
      <c r="BK117" s="4"/>
      <c r="BL117" s="4"/>
      <c r="BO117" s="14">
        <v>0</v>
      </c>
      <c r="BP117" s="14">
        <v>0</v>
      </c>
      <c r="BQ117" s="14">
        <v>0</v>
      </c>
      <c r="BR117" s="14">
        <v>1</v>
      </c>
      <c r="BS117" s="14">
        <v>0</v>
      </c>
      <c r="BT117" s="14">
        <v>0</v>
      </c>
      <c r="BU117" s="14">
        <v>0</v>
      </c>
      <c r="BV117" s="14">
        <v>0</v>
      </c>
      <c r="BW117" s="40" t="s">
        <v>48</v>
      </c>
      <c r="BX117" s="41"/>
      <c r="BY117" s="41"/>
      <c r="BZ117" s="41"/>
      <c r="CA117" s="44"/>
      <c r="CB117" s="44"/>
      <c r="CC117" s="44"/>
      <c r="CD117" s="45"/>
      <c r="CE117" s="14">
        <v>0</v>
      </c>
      <c r="CF117" s="14">
        <v>1</v>
      </c>
      <c r="CG117" s="14">
        <v>1</v>
      </c>
      <c r="CH117" s="14">
        <v>1</v>
      </c>
      <c r="CI117" s="14">
        <v>1</v>
      </c>
      <c r="CJ117" s="14">
        <v>1</v>
      </c>
      <c r="CK117" s="14">
        <v>0</v>
      </c>
      <c r="CL117" s="14">
        <v>0</v>
      </c>
      <c r="CM117" s="40" t="s">
        <v>48</v>
      </c>
      <c r="CN117" s="41"/>
      <c r="CO117" s="41"/>
      <c r="CP117" s="41"/>
      <c r="CQ117" s="44"/>
      <c r="CR117" s="44"/>
      <c r="CS117" s="44"/>
      <c r="CT117" s="45"/>
    </row>
    <row r="118" spans="1:98" x14ac:dyDescent="0.2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Q118" s="1">
        <v>0</v>
      </c>
      <c r="R118" s="2">
        <v>0</v>
      </c>
      <c r="S118" s="2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AG118" s="1">
        <v>0</v>
      </c>
      <c r="AH118" s="2">
        <v>0</v>
      </c>
      <c r="AI118" s="1">
        <v>0</v>
      </c>
      <c r="AJ118" s="2">
        <v>0</v>
      </c>
      <c r="AK118" s="1">
        <v>0</v>
      </c>
      <c r="AL118" s="1">
        <v>0</v>
      </c>
      <c r="AM118" s="1">
        <v>0</v>
      </c>
      <c r="AN118" s="1">
        <v>0</v>
      </c>
      <c r="AO118" s="4"/>
      <c r="AP118" s="4"/>
      <c r="AQ118" s="4"/>
      <c r="AR118" s="4"/>
      <c r="AS118" s="4"/>
      <c r="AT118" s="4"/>
      <c r="AU118" s="4"/>
      <c r="AV118" s="4"/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4"/>
      <c r="BF118" s="4"/>
      <c r="BG118" s="4"/>
      <c r="BH118" s="4"/>
      <c r="BI118" s="4"/>
      <c r="BJ118" s="4"/>
      <c r="BK118" s="4"/>
      <c r="BL118" s="4"/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2"/>
      <c r="BX118" s="12"/>
      <c r="BY118" s="12"/>
      <c r="BZ118" s="12"/>
      <c r="CA118" s="12"/>
      <c r="CB118" s="12"/>
      <c r="CC118" s="12"/>
      <c r="CD118" s="12"/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15">
        <v>0</v>
      </c>
      <c r="CK118" s="15">
        <v>0</v>
      </c>
      <c r="CL118" s="15">
        <v>0</v>
      </c>
      <c r="CM118" s="12"/>
      <c r="CN118" s="12"/>
      <c r="CO118" s="12"/>
      <c r="CP118" s="12"/>
      <c r="CQ118" s="12"/>
      <c r="CR118" s="12"/>
      <c r="CS118" s="12"/>
      <c r="CT118" s="12"/>
    </row>
    <row r="119" spans="1:98" s="5" customFormat="1" x14ac:dyDescent="0.25">
      <c r="A119" s="7">
        <v>1</v>
      </c>
      <c r="B119" s="7">
        <v>2</v>
      </c>
      <c r="C119" s="7">
        <v>3</v>
      </c>
      <c r="D119" s="7">
        <v>4</v>
      </c>
      <c r="E119" s="7">
        <v>5</v>
      </c>
      <c r="F119" s="7">
        <v>6</v>
      </c>
      <c r="G119" s="7">
        <v>7</v>
      </c>
      <c r="H119" s="7">
        <v>8</v>
      </c>
      <c r="I119" s="50" t="s">
        <v>0</v>
      </c>
      <c r="J119" s="50"/>
      <c r="K119" s="50"/>
      <c r="L119" s="50"/>
      <c r="M119" s="49">
        <v>0</v>
      </c>
      <c r="N119" s="49"/>
      <c r="O119" s="49">
        <v>36</v>
      </c>
      <c r="P119" s="49"/>
      <c r="Q119" s="7">
        <v>1</v>
      </c>
      <c r="R119" s="7">
        <v>2</v>
      </c>
      <c r="S119" s="7">
        <v>3</v>
      </c>
      <c r="T119" s="7">
        <v>4</v>
      </c>
      <c r="U119" s="7">
        <v>5</v>
      </c>
      <c r="V119" s="7">
        <v>6</v>
      </c>
      <c r="W119" s="7">
        <v>7</v>
      </c>
      <c r="X119" s="7">
        <v>8</v>
      </c>
      <c r="Y119" s="50" t="s">
        <v>0</v>
      </c>
      <c r="Z119" s="50"/>
      <c r="AA119" s="50"/>
      <c r="AB119" s="50"/>
      <c r="AC119" s="49">
        <v>0</v>
      </c>
      <c r="AD119" s="49"/>
      <c r="AE119" s="49">
        <v>37</v>
      </c>
      <c r="AF119" s="49"/>
      <c r="AG119" s="7">
        <v>1</v>
      </c>
      <c r="AH119" s="7">
        <v>2</v>
      </c>
      <c r="AI119" s="7">
        <v>3</v>
      </c>
      <c r="AJ119" s="7">
        <v>4</v>
      </c>
      <c r="AK119" s="7">
        <v>5</v>
      </c>
      <c r="AL119" s="7">
        <v>6</v>
      </c>
      <c r="AM119" s="7">
        <v>7</v>
      </c>
      <c r="AN119" s="7">
        <v>8</v>
      </c>
      <c r="AO119" s="50" t="s">
        <v>0</v>
      </c>
      <c r="AP119" s="50"/>
      <c r="AQ119" s="50"/>
      <c r="AR119" s="50"/>
      <c r="AS119" s="49">
        <v>0</v>
      </c>
      <c r="AT119" s="49"/>
      <c r="AU119" s="49">
        <v>38</v>
      </c>
      <c r="AV119" s="49"/>
      <c r="AW119" s="7">
        <v>1</v>
      </c>
      <c r="AX119" s="7">
        <v>2</v>
      </c>
      <c r="AY119" s="7">
        <v>3</v>
      </c>
      <c r="AZ119" s="7">
        <v>4</v>
      </c>
      <c r="BA119" s="7">
        <v>5</v>
      </c>
      <c r="BB119" s="7">
        <v>6</v>
      </c>
      <c r="BC119" s="7">
        <v>7</v>
      </c>
      <c r="BD119" s="7">
        <v>8</v>
      </c>
      <c r="BE119" s="50" t="s">
        <v>0</v>
      </c>
      <c r="BF119" s="50"/>
      <c r="BG119" s="50"/>
      <c r="BH119" s="50"/>
      <c r="BI119" s="49">
        <v>0</v>
      </c>
      <c r="BJ119" s="49"/>
      <c r="BK119" s="49">
        <v>39</v>
      </c>
      <c r="BL119" s="49"/>
      <c r="BM119" s="20"/>
      <c r="BN119" s="20"/>
      <c r="BO119" s="28"/>
    </row>
    <row r="120" spans="1:98" ht="15" customHeight="1" x14ac:dyDescent="0.2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4" t="str">
        <f>BIN2HEX(A127&amp;A126&amp;A125&amp;A124&amp;A123&amp;A122&amp;A121&amp;A120)</f>
        <v>0</v>
      </c>
      <c r="J120" s="4" t="str">
        <f t="shared" ref="J120" si="362">BIN2HEX(B127&amp;B126&amp;B125&amp;B124&amp;B123&amp;B122&amp;B121&amp;B120)</f>
        <v>0</v>
      </c>
      <c r="K120" s="4" t="str">
        <f t="shared" ref="K120" si="363">BIN2HEX(C127&amp;C126&amp;C125&amp;C124&amp;C123&amp;C122&amp;C121&amp;C120)</f>
        <v>0</v>
      </c>
      <c r="L120" s="4" t="str">
        <f t="shared" ref="L120" si="364">BIN2HEX(D127&amp;D126&amp;D125&amp;D124&amp;D123&amp;D122&amp;D121&amp;D120)</f>
        <v>0</v>
      </c>
      <c r="M120" s="4" t="str">
        <f t="shared" ref="M120" si="365">BIN2HEX(E127&amp;E126&amp;E125&amp;E124&amp;E123&amp;E122&amp;E121&amp;E120)</f>
        <v>0</v>
      </c>
      <c r="N120" s="4" t="str">
        <f t="shared" ref="N120" si="366">BIN2HEX(F127&amp;F126&amp;F125&amp;F124&amp;F123&amp;F122&amp;F121&amp;F120)</f>
        <v>0</v>
      </c>
      <c r="O120" s="4" t="str">
        <f t="shared" ref="O120" si="367">BIN2HEX(G127&amp;G126&amp;G125&amp;G124&amp;G123&amp;G122&amp;G121&amp;G120)</f>
        <v>0</v>
      </c>
      <c r="P120" s="4" t="str">
        <f>BIN2HEX(H127&amp;H126&amp;H125&amp;H124&amp;H123&amp;H122&amp;H121&amp;H120)</f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4" t="str">
        <f>BIN2HEX(Q127&amp;Q126&amp;Q125&amp;Q124&amp;Q123&amp;Q122&amp;Q121&amp;Q120)</f>
        <v>0</v>
      </c>
      <c r="Z120" s="4" t="str">
        <f t="shared" ref="Z120" si="368">BIN2HEX(R127&amp;R126&amp;R125&amp;R124&amp;R123&amp;R122&amp;R121&amp;R120)</f>
        <v>0</v>
      </c>
      <c r="AA120" s="4" t="str">
        <f t="shared" ref="AA120" si="369">BIN2HEX(S127&amp;S126&amp;S125&amp;S124&amp;S123&amp;S122&amp;S121&amp;S120)</f>
        <v>0</v>
      </c>
      <c r="AB120" s="4" t="str">
        <f t="shared" ref="AB120" si="370">BIN2HEX(T127&amp;T126&amp;T125&amp;T124&amp;T123&amp;T122&amp;T121&amp;T120)</f>
        <v>0</v>
      </c>
      <c r="AC120" s="4" t="str">
        <f t="shared" ref="AC120" si="371">BIN2HEX(U127&amp;U126&amp;U125&amp;U124&amp;U123&amp;U122&amp;U121&amp;U120)</f>
        <v>0</v>
      </c>
      <c r="AD120" s="4" t="str">
        <f t="shared" ref="AD120" si="372">BIN2HEX(V127&amp;V126&amp;V125&amp;V124&amp;V123&amp;V122&amp;V121&amp;V120)</f>
        <v>0</v>
      </c>
      <c r="AE120" s="4" t="str">
        <f t="shared" ref="AE120" si="373">BIN2HEX(W127&amp;W126&amp;W125&amp;W124&amp;W123&amp;W122&amp;W121&amp;W120)</f>
        <v>0</v>
      </c>
      <c r="AF120" s="3" t="str">
        <f>BIN2HEX(X127&amp;X126&amp;X125&amp;X124&amp;X123&amp;X122&amp;X121&amp;X120)</f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4" t="str">
        <f>BIN2HEX(AG127&amp;AG126&amp;AG125&amp;AG124&amp;AG123&amp;AG122&amp;AG121&amp;AG120)</f>
        <v>0</v>
      </c>
      <c r="AP120" s="4" t="str">
        <f t="shared" ref="AP120" si="374">BIN2HEX(AH127&amp;AH126&amp;AH125&amp;AH124&amp;AH123&amp;AH122&amp;AH121&amp;AH120)</f>
        <v>0</v>
      </c>
      <c r="AQ120" s="4" t="str">
        <f t="shared" ref="AQ120" si="375">BIN2HEX(AI127&amp;AI126&amp;AI125&amp;AI124&amp;AI123&amp;AI122&amp;AI121&amp;AI120)</f>
        <v>0</v>
      </c>
      <c r="AR120" s="4" t="str">
        <f t="shared" ref="AR120" si="376">BIN2HEX(AJ127&amp;AJ126&amp;AJ125&amp;AJ124&amp;AJ123&amp;AJ122&amp;AJ121&amp;AJ120)</f>
        <v>0</v>
      </c>
      <c r="AS120" s="4" t="str">
        <f t="shared" ref="AS120" si="377">BIN2HEX(AK127&amp;AK126&amp;AK125&amp;AK124&amp;AK123&amp;AK122&amp;AK121&amp;AK120)</f>
        <v>0</v>
      </c>
      <c r="AT120" s="4" t="str">
        <f t="shared" ref="AT120" si="378">BIN2HEX(AL127&amp;AL126&amp;AL125&amp;AL124&amp;AL123&amp;AL122&amp;AL121&amp;AL120)</f>
        <v>0</v>
      </c>
      <c r="AU120" s="4" t="str">
        <f t="shared" ref="AU120" si="379">BIN2HEX(AM127&amp;AM126&amp;AM125&amp;AM124&amp;AM123&amp;AM122&amp;AM121&amp;AM120)</f>
        <v>0</v>
      </c>
      <c r="AV120" s="4" t="str">
        <f>BIN2HEX(AN127&amp;AN126&amp;AN125&amp;AN124&amp;AN123&amp;AN122&amp;AN121&amp;AN120)</f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</v>
      </c>
      <c r="BB120" s="2">
        <v>0</v>
      </c>
      <c r="BC120" s="2">
        <v>0</v>
      </c>
      <c r="BD120" s="2">
        <v>0</v>
      </c>
      <c r="BE120" s="4" t="str">
        <f>BIN2HEX(AW127&amp;AW126&amp;AW125&amp;AW124&amp;AW123&amp;AW122&amp;AW121&amp;AW120)</f>
        <v>0</v>
      </c>
      <c r="BF120" s="4" t="str">
        <f t="shared" ref="BF120" si="380">BIN2HEX(AX127&amp;AX126&amp;AX125&amp;AX124&amp;AX123&amp;AX122&amp;AX121&amp;AX120)</f>
        <v>0</v>
      </c>
      <c r="BG120" s="4" t="str">
        <f t="shared" ref="BG120" si="381">BIN2HEX(AY127&amp;AY126&amp;AY125&amp;AY124&amp;AY123&amp;AY122&amp;AY121&amp;AY120)</f>
        <v>0</v>
      </c>
      <c r="BH120" s="4" t="str">
        <f t="shared" ref="BH120" si="382">BIN2HEX(AZ127&amp;AZ126&amp;AZ125&amp;AZ124&amp;AZ123&amp;AZ122&amp;AZ121&amp;AZ120)</f>
        <v>0</v>
      </c>
      <c r="BI120" s="4" t="str">
        <f t="shared" ref="BI120" si="383">BIN2HEX(BA127&amp;BA126&amp;BA125&amp;BA124&amp;BA123&amp;BA122&amp;BA121&amp;BA120)</f>
        <v>3</v>
      </c>
      <c r="BJ120" s="4" t="str">
        <f t="shared" ref="BJ120" si="384">BIN2HEX(BB127&amp;BB126&amp;BB125&amp;BB124&amp;BB123&amp;BB122&amp;BB121&amp;BB120)</f>
        <v>0</v>
      </c>
      <c r="BK120" s="4" t="str">
        <f t="shared" ref="BK120" si="385">BIN2HEX(BC127&amp;BC126&amp;BC125&amp;BC124&amp;BC123&amp;BC122&amp;BC121&amp;BC120)</f>
        <v>0</v>
      </c>
      <c r="BL120" s="4" t="str">
        <f>BIN2HEX(BD127&amp;BD126&amp;BD125&amp;BD124&amp;BD123&amp;BD122&amp;BD121&amp;BD120)</f>
        <v>0</v>
      </c>
      <c r="BO120" s="55" t="str">
        <f>BW7
&amp;CHAR(10)&amp;CM7
&amp;CHAR(10)&amp;BW16
&amp;CHAR(10)&amp;CM16
&amp;CHAR(10)&amp;BW25
&amp;CHAR(10)&amp;CM25
&amp;CHAR(10)&amp;BW34
&amp;CHAR(10)&amp;CM34
&amp;CHAR(10)&amp;BW43
&amp;CHAR(10)&amp;CM43
&amp;CHAR(10)&amp;BW52
&amp;CHAR(10)&amp;CM52
&amp;CHAR(10)&amp;BW61
&amp;CHAR(10)&amp;CM61
&amp;CHAR(10)&amp;BW70
&amp;CHAR(10)&amp;CM70
&amp;CHAR(10)&amp;BW79
&amp;CHAR(10)&amp;CM79
&amp;CHAR(10)&amp;BW88
&amp;CHAR(10)&amp;CM88
&amp;CHAR(10)&amp;BW97
&amp;CHAR(10)&amp;CM97
&amp;CHAR(10)&amp;BW106
&amp;CHAR(10)&amp;CM106
&amp;CHAR(10)&amp;BW115
&amp;CHAR(10)&amp;CM115</f>
        <v>{{0x0, 0x0, 0x7E, 0x11, 0x11, 0x7E, 0x0, 0x0}, 8},  //A:0:65
{{0x0, 0x0, 0x7F, 0x49, 0x49, 0x36, 0x0, 0x0}, 8},  //B:0:66
{{0x0, 0x0, 0x3E, 0x41, 0x41, 0x41, 0x0, 0x0}, 8},  //C:0:67
{{0x0, 0x0, 0x7F, 0x41, 0x41, 0x3E, 0x0, 0x0}, 8},  //D:0:68
{{0x0, 0x3E, 0x49, 0x49, 0x49, 0x26, 0x0, 0x0}, 8},  //E:0:69
{{0x0, 0x0, 0x7F, 0x9, 0x9, 0x9, 0x0, 0x0}, 8},  //F:0:70
{{0x0, 0x3E, 0x41, 0x49, 0x49, 0x3A, 0x0, 0x0}, 8},  //G:0:71
{{0x0, 0x7F, 0x8, 0x8, 0x8, 0x7F, 0x0, 0x0}, 8},  //H:0:72
{{0x0, 0x0, 0x0, 0x7F, 0x0, 0x0, 0x0, 0x0}, 8},  //I:0:73
{{0x0, 0x0, 0x20, 0x40, 0x40, 0x3F, 0x0, 0x0}, 8},  //J:0:74
{{0x0, 0x0, 0x7F, 0x8, 0x14, 0x63, 0x0, 0x0}, 8},  //K:0:75
{{0x0, 0x0, 0x7F, 0x40, 0x40, 0x40, 0x0, 0x0}, 8},  //L:0:76
{{0x0, 0x7F, 0xC, 0x30, 0xC, 0x7F, 0x0, 0x0}, 8},  //M:0:77
{{0x0, 0x7F, 0x4, 0x8, 0x10, 0x7F, 0x0, 0x0}, 8},  //N:0:78
{{0x0, 0x3E, 0x41, 0x41, 0x41, 0x3E, 0x0, 0x0}, 8},  //O:0:79
{{0x0, 0x7F, 0x9, 0x9, 0x9, 0x6, 0x0, 0x0}, 8},  //P:0:80
{{0x0, 0x3E, 0x41, 0x41, 0x41, 0x7E, 0x40, 0x0}, 8},  //Q:0:81
{{0x0, 0x7F, 0x9, 0x19, 0x29, 0x46, 0x0, 0x0}, 8},  //R:0:82
{{0x0, 0x0, 0x26, 0x49, 0x49, 0x32, 0x0, 0x0}, 8},  //S:0:83
{{0x0, 0x1, 0x1, 0x7F, 0x1, 0x1, 0x0, 0x0}, 8},  //T:0:84
{{0x0, 0x3F, 0x40, 0x40, 0x40, 0x3F, 0x0, 0x0}, 8},  //U:0:85
{{0x0, 0x7, 0x18, 0x60, 0x18, 0x7, 0x0, 0x0}, 8},  //V:0:86
{{0x0, 0x7F, 0x20, 0x1C, 0x20, 0x7F, 0x0, 0x0}, 8},  //W:0:87
{{0x0, 0x63, 0x14, 0x8, 0x14, 0x63, 0x0, 0x0}, 8},  //X:0:88
{{0x0, 0x3, 0x4, 0x78, 0x4, 0x3, 0x0, 0x0}, 8},  //Y:0:89
{{0x0, 0x61, 0x51, 0x49, 0x45, 0x43, 0x0, 0x0}, 8},  //Z:0:90</v>
      </c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</row>
    <row r="121" spans="1:98" ht="15" customHeight="1" x14ac:dyDescent="0.2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46" t="str">
        <f>"0x"&amp;I120&amp;", 0x"&amp;J120&amp;", 0x"&amp;K120&amp;", 0x"&amp;L120&amp;", 0x"&amp;M120&amp;", 0x"&amp;N120&amp;", 0x"&amp;O120&amp;", 0x"&amp;P120</f>
        <v>0x0, 0x0, 0x0, 0x0, 0x0, 0x0, 0x0, 0x0</v>
      </c>
      <c r="J121" s="47"/>
      <c r="K121" s="47"/>
      <c r="L121" s="47"/>
      <c r="M121" s="47"/>
      <c r="N121" s="47"/>
      <c r="O121" s="47"/>
      <c r="P121" s="47"/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47" t="str">
        <f>"0x"&amp;Y120&amp;", 0x"&amp;Z120&amp;", 0x"&amp;AA120&amp;", 0x"&amp;AB120&amp;", 0x"&amp;AC120&amp;", 0x"&amp;AD120&amp;", 0x"&amp;AE120&amp;", 0x"&amp;AF120</f>
        <v>0x0, 0x0, 0x0, 0x0, 0x0, 0x0, 0x0, 0x0</v>
      </c>
      <c r="Z121" s="47"/>
      <c r="AA121" s="47"/>
      <c r="AB121" s="47"/>
      <c r="AC121" s="47"/>
      <c r="AD121" s="47"/>
      <c r="AE121" s="47"/>
      <c r="AF121" s="48"/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46" t="str">
        <f>"0x"&amp;AO120&amp;", 0x"&amp;AP120&amp;", 0x"&amp;AQ120&amp;", 0x"&amp;AR120&amp;", 0x"&amp;AS120&amp;", 0x"&amp;AT120&amp;", 0x"&amp;AU120&amp;", 0x"&amp;AV120</f>
        <v>0x0, 0x0, 0x0, 0x0, 0x0, 0x0, 0x0, 0x0</v>
      </c>
      <c r="AP121" s="47"/>
      <c r="AQ121" s="47"/>
      <c r="AR121" s="47"/>
      <c r="AS121" s="47"/>
      <c r="AT121" s="47"/>
      <c r="AU121" s="47"/>
      <c r="AV121" s="47"/>
      <c r="AW121" s="5">
        <v>0</v>
      </c>
      <c r="AX121" s="2">
        <v>0</v>
      </c>
      <c r="AY121" s="5">
        <v>0</v>
      </c>
      <c r="AZ121" s="5">
        <v>0</v>
      </c>
      <c r="BA121" s="5">
        <v>1</v>
      </c>
      <c r="BB121" s="5">
        <v>0</v>
      </c>
      <c r="BC121" s="5">
        <v>0</v>
      </c>
      <c r="BD121" s="5">
        <v>0</v>
      </c>
      <c r="BE121" s="46" t="str">
        <f>"0x"&amp;BE120&amp;", 0x"&amp;BF120&amp;", 0x"&amp;BG120&amp;", 0x"&amp;BH120&amp;", 0x"&amp;BI120&amp;", 0x"&amp;BJ120&amp;", 0x"&amp;BK120&amp;", 0x"&amp;BL120</f>
        <v>0x0, 0x0, 0x0, 0x0, 0x3, 0x0, 0x0, 0x0</v>
      </c>
      <c r="BF121" s="47"/>
      <c r="BG121" s="47"/>
      <c r="BH121" s="47"/>
      <c r="BI121" s="47"/>
      <c r="BJ121" s="47"/>
      <c r="BK121" s="47"/>
      <c r="BL121" s="48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</row>
    <row r="122" spans="1:98" x14ac:dyDescent="0.25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46"/>
      <c r="J122" s="47"/>
      <c r="K122" s="47"/>
      <c r="L122" s="47"/>
      <c r="M122" s="47"/>
      <c r="N122" s="47"/>
      <c r="O122" s="47"/>
      <c r="P122" s="47"/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47"/>
      <c r="Z122" s="47"/>
      <c r="AA122" s="47"/>
      <c r="AB122" s="47"/>
      <c r="AC122" s="47"/>
      <c r="AD122" s="47"/>
      <c r="AE122" s="47"/>
      <c r="AF122" s="48"/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46"/>
      <c r="AP122" s="47"/>
      <c r="AQ122" s="47"/>
      <c r="AR122" s="47"/>
      <c r="AS122" s="47"/>
      <c r="AT122" s="47"/>
      <c r="AU122" s="47"/>
      <c r="AV122" s="47"/>
      <c r="AW122" s="5">
        <v>0</v>
      </c>
      <c r="AX122" s="2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46"/>
      <c r="BF122" s="47"/>
      <c r="BG122" s="47"/>
      <c r="BH122" s="47"/>
      <c r="BI122" s="47"/>
      <c r="BJ122" s="47"/>
      <c r="BK122" s="47"/>
      <c r="BL122" s="48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</row>
    <row r="123" spans="1:98" x14ac:dyDescent="0.25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51" t="s">
        <v>36</v>
      </c>
      <c r="J123" s="52"/>
      <c r="K123" s="52"/>
      <c r="L123" s="52"/>
      <c r="M123" s="52"/>
      <c r="N123" s="52"/>
      <c r="O123" s="52"/>
      <c r="P123" s="53"/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51" t="s">
        <v>37</v>
      </c>
      <c r="Z123" s="52"/>
      <c r="AA123" s="52"/>
      <c r="AB123" s="52"/>
      <c r="AC123" s="52"/>
      <c r="AD123" s="52"/>
      <c r="AE123" s="52"/>
      <c r="AF123" s="53"/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51" t="s">
        <v>38</v>
      </c>
      <c r="AP123" s="52"/>
      <c r="AQ123" s="52"/>
      <c r="AR123" s="52"/>
      <c r="AS123" s="52"/>
      <c r="AT123" s="52"/>
      <c r="AU123" s="52"/>
      <c r="AV123" s="53"/>
      <c r="AW123" s="5">
        <v>0</v>
      </c>
      <c r="AX123" s="2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4" t="s">
        <v>39</v>
      </c>
      <c r="BF123" s="52"/>
      <c r="BG123" s="52"/>
      <c r="BH123" s="52"/>
      <c r="BI123" s="52"/>
      <c r="BJ123" s="52"/>
      <c r="BK123" s="52"/>
      <c r="BL123" s="53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</row>
    <row r="124" spans="1:98" ht="15" customHeight="1" x14ac:dyDescent="0.25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3" t="str">
        <f>"{{"&amp;I121&amp;"}"&amp;", "&amp;$I$1&amp;"},  //"&amp;I123&amp;":"&amp;M119&amp;":"&amp;O119</f>
        <v>{{0x0, 0x0, 0x0, 0x0, 0x0, 0x0, 0x0, 0x0}, 8},  //$:0:36</v>
      </c>
      <c r="J124" s="34"/>
      <c r="K124" s="34"/>
      <c r="L124" s="34"/>
      <c r="M124" s="34"/>
      <c r="N124" s="34"/>
      <c r="O124" s="34"/>
      <c r="P124" s="35"/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33" t="str">
        <f>"{{"&amp;Y121&amp;"}"&amp;", "&amp;$I$1&amp;"},  //"&amp;Y123&amp;":"&amp;AC119&amp;":"&amp;AE119</f>
        <v>{{0x0, 0x0, 0x0, 0x0, 0x0, 0x0, 0x0, 0x0}, 8},  //%:0:37</v>
      </c>
      <c r="Z124" s="34"/>
      <c r="AA124" s="34"/>
      <c r="AB124" s="34"/>
      <c r="AC124" s="34"/>
      <c r="AD124" s="34"/>
      <c r="AE124" s="34"/>
      <c r="AF124" s="35"/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33" t="str">
        <f>"{{"&amp;AO121&amp;"}"&amp;", "&amp;$I$1&amp;"},  //"&amp;AO123&amp;":"&amp;AS119&amp;":"&amp;AU119</f>
        <v>{{0x0, 0x0, 0x0, 0x0, 0x0, 0x0, 0x0, 0x0}, 8},  //&amp;:0:38</v>
      </c>
      <c r="AP124" s="34"/>
      <c r="AQ124" s="34"/>
      <c r="AR124" s="34"/>
      <c r="AS124" s="34"/>
      <c r="AT124" s="34"/>
      <c r="AU124" s="34"/>
      <c r="AV124" s="35"/>
      <c r="AW124" s="5">
        <v>0</v>
      </c>
      <c r="AX124" s="2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33" t="str">
        <f>"{{"&amp;BE121&amp;"}"&amp;", "&amp;$I$1&amp;"},  //"&amp;BE123&amp;":"&amp;BI119&amp;":"&amp;BK119</f>
        <v>{{0x0, 0x0, 0x0, 0x0, 0x3, 0x0, 0x0, 0x0}, 8},  //`:0:39</v>
      </c>
      <c r="BF124" s="34"/>
      <c r="BG124" s="34"/>
      <c r="BH124" s="34"/>
      <c r="BI124" s="34"/>
      <c r="BJ124" s="34"/>
      <c r="BK124" s="34"/>
      <c r="BL124" s="35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</row>
    <row r="125" spans="1:98" x14ac:dyDescent="0.25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3"/>
      <c r="J125" s="34"/>
      <c r="K125" s="34"/>
      <c r="L125" s="34"/>
      <c r="M125" s="34"/>
      <c r="N125" s="34"/>
      <c r="O125" s="34"/>
      <c r="P125" s="35"/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33"/>
      <c r="Z125" s="34"/>
      <c r="AA125" s="34"/>
      <c r="AB125" s="34"/>
      <c r="AC125" s="34"/>
      <c r="AD125" s="34"/>
      <c r="AE125" s="34"/>
      <c r="AF125" s="35"/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33"/>
      <c r="AP125" s="34"/>
      <c r="AQ125" s="34"/>
      <c r="AR125" s="34"/>
      <c r="AS125" s="34"/>
      <c r="AT125" s="34"/>
      <c r="AU125" s="34"/>
      <c r="AV125" s="35"/>
      <c r="AW125" s="5">
        <v>0</v>
      </c>
      <c r="AX125" s="2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33"/>
      <c r="BF125" s="34"/>
      <c r="BG125" s="34"/>
      <c r="BH125" s="34"/>
      <c r="BI125" s="34"/>
      <c r="BJ125" s="34"/>
      <c r="BK125" s="34"/>
      <c r="BL125" s="35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</row>
    <row r="126" spans="1:98" x14ac:dyDescent="0.25">
      <c r="A126" s="2">
        <v>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4"/>
      <c r="AP126" s="4"/>
      <c r="AQ126" s="4"/>
      <c r="AR126" s="4"/>
      <c r="AS126" s="4"/>
      <c r="AT126" s="4"/>
      <c r="AU126" s="4"/>
      <c r="AV126" s="4"/>
      <c r="AW126" s="5">
        <v>0</v>
      </c>
      <c r="AX126" s="2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4"/>
      <c r="BF126" s="4"/>
      <c r="BG126" s="4"/>
      <c r="BH126" s="4"/>
      <c r="BI126" s="4"/>
      <c r="BJ126" s="4"/>
      <c r="BK126" s="4"/>
      <c r="BL126" s="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</row>
    <row r="127" spans="1:98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4"/>
      <c r="AP127" s="4"/>
      <c r="AQ127" s="4"/>
      <c r="AR127" s="4"/>
      <c r="AS127" s="4"/>
      <c r="AT127" s="4"/>
      <c r="AU127" s="4"/>
      <c r="AV127" s="4"/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4"/>
      <c r="BF127" s="4"/>
      <c r="BG127" s="4"/>
      <c r="BH127" s="4"/>
      <c r="BI127" s="4"/>
      <c r="BJ127" s="4"/>
      <c r="BK127" s="4"/>
      <c r="BL127" s="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</row>
    <row r="128" spans="1:98" s="5" customFormat="1" x14ac:dyDescent="0.25">
      <c r="A128" s="7">
        <v>1</v>
      </c>
      <c r="B128" s="7">
        <v>2</v>
      </c>
      <c r="C128" s="7">
        <v>3</v>
      </c>
      <c r="D128" s="7">
        <v>4</v>
      </c>
      <c r="E128" s="7">
        <v>5</v>
      </c>
      <c r="F128" s="7">
        <v>6</v>
      </c>
      <c r="G128" s="7">
        <v>7</v>
      </c>
      <c r="H128" s="7">
        <v>8</v>
      </c>
      <c r="I128" s="50" t="s">
        <v>0</v>
      </c>
      <c r="J128" s="50"/>
      <c r="K128" s="50"/>
      <c r="L128" s="50"/>
      <c r="M128" s="49">
        <v>0</v>
      </c>
      <c r="N128" s="49"/>
      <c r="O128" s="49">
        <v>40</v>
      </c>
      <c r="P128" s="49"/>
      <c r="Q128" s="7">
        <v>1</v>
      </c>
      <c r="R128" s="7">
        <v>2</v>
      </c>
      <c r="S128" s="7">
        <v>3</v>
      </c>
      <c r="T128" s="7">
        <v>4</v>
      </c>
      <c r="U128" s="7">
        <v>5</v>
      </c>
      <c r="V128" s="7">
        <v>6</v>
      </c>
      <c r="W128" s="7">
        <v>7</v>
      </c>
      <c r="X128" s="7">
        <v>8</v>
      </c>
      <c r="Y128" s="50" t="s">
        <v>0</v>
      </c>
      <c r="Z128" s="50"/>
      <c r="AA128" s="50"/>
      <c r="AB128" s="50"/>
      <c r="AC128" s="49">
        <v>0</v>
      </c>
      <c r="AD128" s="49"/>
      <c r="AE128" s="49">
        <v>41</v>
      </c>
      <c r="AF128" s="49"/>
      <c r="AG128" s="7">
        <v>1</v>
      </c>
      <c r="AH128" s="7">
        <v>2</v>
      </c>
      <c r="AI128" s="7">
        <v>3</v>
      </c>
      <c r="AJ128" s="7">
        <v>4</v>
      </c>
      <c r="AK128" s="7">
        <v>5</v>
      </c>
      <c r="AL128" s="7">
        <v>6</v>
      </c>
      <c r="AM128" s="7">
        <v>7</v>
      </c>
      <c r="AN128" s="7">
        <v>8</v>
      </c>
      <c r="AO128" s="50" t="s">
        <v>0</v>
      </c>
      <c r="AP128" s="50"/>
      <c r="AQ128" s="50"/>
      <c r="AR128" s="50"/>
      <c r="AS128" s="49">
        <v>0</v>
      </c>
      <c r="AT128" s="49"/>
      <c r="AU128" s="49">
        <v>42</v>
      </c>
      <c r="AV128" s="49"/>
      <c r="AW128" s="7">
        <v>1</v>
      </c>
      <c r="AX128" s="7">
        <v>2</v>
      </c>
      <c r="AY128" s="7">
        <v>3</v>
      </c>
      <c r="AZ128" s="7">
        <v>4</v>
      </c>
      <c r="BA128" s="7">
        <v>5</v>
      </c>
      <c r="BB128" s="7">
        <v>6</v>
      </c>
      <c r="BC128" s="7">
        <v>7</v>
      </c>
      <c r="BD128" s="7">
        <v>8</v>
      </c>
      <c r="BE128" s="50" t="s">
        <v>0</v>
      </c>
      <c r="BF128" s="50"/>
      <c r="BG128" s="50"/>
      <c r="BH128" s="50"/>
      <c r="BI128" s="49">
        <v>0</v>
      </c>
      <c r="BJ128" s="49"/>
      <c r="BK128" s="49">
        <v>43</v>
      </c>
      <c r="BL128" s="49"/>
      <c r="BM128" s="20"/>
      <c r="BN128" s="20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</row>
    <row r="129" spans="1:98" x14ac:dyDescent="0.25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4" t="str">
        <f>BIN2HEX(A136&amp;A135&amp;A134&amp;A133&amp;A132&amp;A131&amp;A130&amp;A129)</f>
        <v>0</v>
      </c>
      <c r="J129" s="4" t="str">
        <f t="shared" ref="J129" si="386">BIN2HEX(B136&amp;B135&amp;B134&amp;B133&amp;B132&amp;B131&amp;B130&amp;B129)</f>
        <v>0</v>
      </c>
      <c r="K129" s="4" t="str">
        <f t="shared" ref="K129" si="387">BIN2HEX(C136&amp;C135&amp;C134&amp;C133&amp;C132&amp;C131&amp;C130&amp;C129)</f>
        <v>0</v>
      </c>
      <c r="L129" s="4" t="str">
        <f t="shared" ref="L129" si="388">BIN2HEX(D136&amp;D135&amp;D134&amp;D133&amp;D132&amp;D131&amp;D130&amp;D129)</f>
        <v>0</v>
      </c>
      <c r="M129" s="4" t="str">
        <f t="shared" ref="M129" si="389">BIN2HEX(E136&amp;E135&amp;E134&amp;E133&amp;E132&amp;E131&amp;E130&amp;E129)</f>
        <v>0</v>
      </c>
      <c r="N129" s="4" t="str">
        <f t="shared" ref="N129" si="390">BIN2HEX(F136&amp;F135&amp;F134&amp;F133&amp;F132&amp;F131&amp;F130&amp;F129)</f>
        <v>0</v>
      </c>
      <c r="O129" s="4" t="str">
        <f t="shared" ref="O129" si="391">BIN2HEX(G136&amp;G135&amp;G134&amp;G133&amp;G132&amp;G131&amp;G130&amp;G129)</f>
        <v>0</v>
      </c>
      <c r="P129" s="4" t="str">
        <f>BIN2HEX(H136&amp;H135&amp;H134&amp;H133&amp;H132&amp;H131&amp;H130&amp;H129)</f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4" t="str">
        <f>BIN2HEX(Q136&amp;Q135&amp;Q134&amp;Q133&amp;Q132&amp;Q131&amp;Q130&amp;Q129)</f>
        <v>0</v>
      </c>
      <c r="Z129" s="4" t="str">
        <f t="shared" ref="Z129" si="392">BIN2HEX(R136&amp;R135&amp;R134&amp;R133&amp;R132&amp;R131&amp;R130&amp;R129)</f>
        <v>0</v>
      </c>
      <c r="AA129" s="4" t="str">
        <f t="shared" ref="AA129" si="393">BIN2HEX(S136&amp;S135&amp;S134&amp;S133&amp;S132&amp;S131&amp;S130&amp;S129)</f>
        <v>0</v>
      </c>
      <c r="AB129" s="4" t="str">
        <f t="shared" ref="AB129" si="394">BIN2HEX(T136&amp;T135&amp;T134&amp;T133&amp;T132&amp;T131&amp;T130&amp;T129)</f>
        <v>0</v>
      </c>
      <c r="AC129" s="4" t="str">
        <f t="shared" ref="AC129" si="395">BIN2HEX(U136&amp;U135&amp;U134&amp;U133&amp;U132&amp;U131&amp;U130&amp;U129)</f>
        <v>0</v>
      </c>
      <c r="AD129" s="4" t="str">
        <f t="shared" ref="AD129" si="396">BIN2HEX(V136&amp;V135&amp;V134&amp;V133&amp;V132&amp;V131&amp;V130&amp;V129)</f>
        <v>0</v>
      </c>
      <c r="AE129" s="4" t="str">
        <f t="shared" ref="AE129" si="397">BIN2HEX(W136&amp;W135&amp;W134&amp;W133&amp;W132&amp;W131&amp;W130&amp;W129)</f>
        <v>0</v>
      </c>
      <c r="AF129" s="3" t="str">
        <f>BIN2HEX(X136&amp;X135&amp;X134&amp;X133&amp;X132&amp;X131&amp;X130&amp;X129)</f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4" t="str">
        <f>BIN2HEX(AG136&amp;AG135&amp;AG134&amp;AG133&amp;AG132&amp;AG131&amp;AG130&amp;AG129)</f>
        <v>0</v>
      </c>
      <c r="AP129" s="4" t="str">
        <f t="shared" ref="AP129" si="398">BIN2HEX(AH136&amp;AH135&amp;AH134&amp;AH133&amp;AH132&amp;AH131&amp;AH130&amp;AH129)</f>
        <v>0</v>
      </c>
      <c r="AQ129" s="4" t="str">
        <f t="shared" ref="AQ129" si="399">BIN2HEX(AI136&amp;AI135&amp;AI134&amp;AI133&amp;AI132&amp;AI131&amp;AI130&amp;AI129)</f>
        <v>0</v>
      </c>
      <c r="AR129" s="4" t="str">
        <f t="shared" ref="AR129" si="400">BIN2HEX(AJ136&amp;AJ135&amp;AJ134&amp;AJ133&amp;AJ132&amp;AJ131&amp;AJ130&amp;AJ129)</f>
        <v>0</v>
      </c>
      <c r="AS129" s="4" t="str">
        <f t="shared" ref="AS129" si="401">BIN2HEX(AK136&amp;AK135&amp;AK134&amp;AK133&amp;AK132&amp;AK131&amp;AK130&amp;AK129)</f>
        <v>0</v>
      </c>
      <c r="AT129" s="4" t="str">
        <f t="shared" ref="AT129" si="402">BIN2HEX(AL136&amp;AL135&amp;AL134&amp;AL133&amp;AL132&amp;AL131&amp;AL130&amp;AL129)</f>
        <v>0</v>
      </c>
      <c r="AU129" s="4" t="str">
        <f t="shared" ref="AU129" si="403">BIN2HEX(AM136&amp;AM135&amp;AM134&amp;AM133&amp;AM132&amp;AM131&amp;AM130&amp;AM129)</f>
        <v>0</v>
      </c>
      <c r="AV129" s="4" t="str">
        <f>BIN2HEX(AN136&amp;AN135&amp;AN134&amp;AN133&amp;AN132&amp;AN131&amp;AN130&amp;AN129)</f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4" t="str">
        <f>BIN2HEX(AW136&amp;AW135&amp;AW134&amp;AW133&amp;AW132&amp;AW131&amp;AW130&amp;AW129)</f>
        <v>0</v>
      </c>
      <c r="BF129" s="4" t="str">
        <f t="shared" ref="BF129" si="404">BIN2HEX(AX136&amp;AX135&amp;AX134&amp;AX133&amp;AX132&amp;AX131&amp;AX130&amp;AX129)</f>
        <v>8</v>
      </c>
      <c r="BG129" s="4" t="str">
        <f t="shared" ref="BG129" si="405">BIN2HEX(AY136&amp;AY135&amp;AY134&amp;AY133&amp;AY132&amp;AY131&amp;AY130&amp;AY129)</f>
        <v>8</v>
      </c>
      <c r="BH129" s="4" t="str">
        <f t="shared" ref="BH129" si="406">BIN2HEX(AZ136&amp;AZ135&amp;AZ134&amp;AZ133&amp;AZ132&amp;AZ131&amp;AZ130&amp;AZ129)</f>
        <v>3E</v>
      </c>
      <c r="BI129" s="4" t="str">
        <f t="shared" ref="BI129" si="407">BIN2HEX(BA136&amp;BA135&amp;BA134&amp;BA133&amp;BA132&amp;BA131&amp;BA130&amp;BA129)</f>
        <v>8</v>
      </c>
      <c r="BJ129" s="4" t="str">
        <f t="shared" ref="BJ129" si="408">BIN2HEX(BB136&amp;BB135&amp;BB134&amp;BB133&amp;BB132&amp;BB131&amp;BB130&amp;BB129)</f>
        <v>8</v>
      </c>
      <c r="BK129" s="4" t="str">
        <f t="shared" ref="BK129" si="409">BIN2HEX(BC136&amp;BC135&amp;BC134&amp;BC133&amp;BC132&amp;BC131&amp;BC130&amp;BC129)</f>
        <v>0</v>
      </c>
      <c r="BL129" s="4" t="str">
        <f>BIN2HEX(BD136&amp;BD135&amp;BD134&amp;BD133&amp;BD132&amp;BD131&amp;BD130&amp;BD129)</f>
        <v>0</v>
      </c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</row>
    <row r="130" spans="1:98" ht="15" customHeight="1" x14ac:dyDescent="0.25">
      <c r="A130" s="2">
        <v>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46" t="str">
        <f>"0x"&amp;I129&amp;", 0x"&amp;J129&amp;", 0x"&amp;K129&amp;", 0x"&amp;L129&amp;", 0x"&amp;M129&amp;", 0x"&amp;N129&amp;", 0x"&amp;O129&amp;", 0x"&amp;P129</f>
        <v>0x0, 0x0, 0x0, 0x0, 0x0, 0x0, 0x0, 0x0</v>
      </c>
      <c r="J130" s="47"/>
      <c r="K130" s="47"/>
      <c r="L130" s="47"/>
      <c r="M130" s="47"/>
      <c r="N130" s="47"/>
      <c r="O130" s="47"/>
      <c r="P130" s="47"/>
      <c r="Q130" s="5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5">
        <v>0</v>
      </c>
      <c r="Y130" s="46" t="str">
        <f>"0x"&amp;Y129&amp;", 0x"&amp;Z129&amp;", 0x"&amp;AA129&amp;", 0x"&amp;AB129&amp;", 0x"&amp;AC129&amp;", 0x"&amp;AD129&amp;", 0x"&amp;AE129&amp;", 0x"&amp;AF129</f>
        <v>0x0, 0x0, 0x0, 0x0, 0x0, 0x0, 0x0, 0x0</v>
      </c>
      <c r="Z130" s="47"/>
      <c r="AA130" s="47"/>
      <c r="AB130" s="47"/>
      <c r="AC130" s="47"/>
      <c r="AD130" s="47"/>
      <c r="AE130" s="47"/>
      <c r="AF130" s="48"/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46" t="str">
        <f>"0x"&amp;AO129&amp;", 0x"&amp;AP129&amp;", 0x"&amp;AQ129&amp;", 0x"&amp;AR129&amp;", 0x"&amp;AS129&amp;", 0x"&amp;AT129&amp;", 0x"&amp;AU129&amp;", 0x"&amp;AV129</f>
        <v>0x0, 0x0, 0x0, 0x0, 0x0, 0x0, 0x0, 0x0</v>
      </c>
      <c r="AP130" s="47"/>
      <c r="AQ130" s="47"/>
      <c r="AR130" s="47"/>
      <c r="AS130" s="47"/>
      <c r="AT130" s="47"/>
      <c r="AU130" s="47"/>
      <c r="AV130" s="47"/>
      <c r="AW130" s="2">
        <v>0</v>
      </c>
      <c r="AX130" s="2">
        <v>0</v>
      </c>
      <c r="AY130" s="2">
        <v>0</v>
      </c>
      <c r="AZ130" s="2">
        <v>1</v>
      </c>
      <c r="BA130" s="2">
        <v>0</v>
      </c>
      <c r="BB130" s="2">
        <v>0</v>
      </c>
      <c r="BC130" s="2">
        <v>0</v>
      </c>
      <c r="BD130" s="2">
        <v>0</v>
      </c>
      <c r="BE130" s="46" t="str">
        <f>"0x"&amp;BE129&amp;", 0x"&amp;BF129&amp;", 0x"&amp;BG129&amp;", 0x"&amp;BH129&amp;", 0x"&amp;BI129&amp;", 0x"&amp;BJ129&amp;", 0x"&amp;BK129&amp;", 0x"&amp;BL129</f>
        <v>0x0, 0x8, 0x8, 0x3E, 0x8, 0x8, 0x0, 0x0</v>
      </c>
      <c r="BF130" s="47"/>
      <c r="BG130" s="47"/>
      <c r="BH130" s="47"/>
      <c r="BI130" s="47"/>
      <c r="BJ130" s="47"/>
      <c r="BK130" s="47"/>
      <c r="BL130" s="48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</row>
    <row r="131" spans="1:98" x14ac:dyDescent="0.25">
      <c r="A131" s="2">
        <v>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46"/>
      <c r="J131" s="47"/>
      <c r="K131" s="47"/>
      <c r="L131" s="47"/>
      <c r="M131" s="47"/>
      <c r="N131" s="47"/>
      <c r="O131" s="47"/>
      <c r="P131" s="47"/>
      <c r="Q131" s="5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5">
        <v>0</v>
      </c>
      <c r="Y131" s="46"/>
      <c r="Z131" s="47"/>
      <c r="AA131" s="47"/>
      <c r="AB131" s="47"/>
      <c r="AC131" s="47"/>
      <c r="AD131" s="47"/>
      <c r="AE131" s="47"/>
      <c r="AF131" s="48"/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46"/>
      <c r="AP131" s="47"/>
      <c r="AQ131" s="47"/>
      <c r="AR131" s="47"/>
      <c r="AS131" s="47"/>
      <c r="AT131" s="47"/>
      <c r="AU131" s="47"/>
      <c r="AV131" s="47"/>
      <c r="AW131" s="2">
        <v>0</v>
      </c>
      <c r="AX131" s="2">
        <v>0</v>
      </c>
      <c r="AY131" s="2">
        <v>0</v>
      </c>
      <c r="AZ131" s="2">
        <v>1</v>
      </c>
      <c r="BA131" s="2">
        <v>0</v>
      </c>
      <c r="BB131" s="2">
        <v>0</v>
      </c>
      <c r="BC131" s="2">
        <v>0</v>
      </c>
      <c r="BD131" s="2">
        <v>0</v>
      </c>
      <c r="BE131" s="46"/>
      <c r="BF131" s="47"/>
      <c r="BG131" s="47"/>
      <c r="BH131" s="47"/>
      <c r="BI131" s="47"/>
      <c r="BJ131" s="47"/>
      <c r="BK131" s="47"/>
      <c r="BL131" s="48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</row>
    <row r="132" spans="1:98" x14ac:dyDescent="0.25">
      <c r="A132" s="2">
        <v>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51" t="s">
        <v>47</v>
      </c>
      <c r="J132" s="52"/>
      <c r="K132" s="52"/>
      <c r="L132" s="52"/>
      <c r="M132" s="52"/>
      <c r="N132" s="52"/>
      <c r="O132" s="52"/>
      <c r="P132" s="53"/>
      <c r="Q132" s="5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5">
        <v>0</v>
      </c>
      <c r="Y132" s="54" t="s">
        <v>46</v>
      </c>
      <c r="Z132" s="52"/>
      <c r="AA132" s="52"/>
      <c r="AB132" s="52"/>
      <c r="AC132" s="52"/>
      <c r="AD132" s="52"/>
      <c r="AE132" s="52"/>
      <c r="AF132" s="53"/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51" t="s">
        <v>45</v>
      </c>
      <c r="AP132" s="52"/>
      <c r="AQ132" s="52"/>
      <c r="AR132" s="52"/>
      <c r="AS132" s="52"/>
      <c r="AT132" s="52"/>
      <c r="AU132" s="52"/>
      <c r="AV132" s="53"/>
      <c r="AW132" s="2">
        <v>0</v>
      </c>
      <c r="AX132" s="2">
        <v>1</v>
      </c>
      <c r="AY132" s="2">
        <v>1</v>
      </c>
      <c r="AZ132" s="2">
        <v>1</v>
      </c>
      <c r="BA132" s="2">
        <v>1</v>
      </c>
      <c r="BB132" s="2">
        <v>1</v>
      </c>
      <c r="BC132" s="2">
        <v>0</v>
      </c>
      <c r="BD132" s="2">
        <v>0</v>
      </c>
      <c r="BE132" s="54" t="s">
        <v>43</v>
      </c>
      <c r="BF132" s="52"/>
      <c r="BG132" s="52"/>
      <c r="BH132" s="52"/>
      <c r="BI132" s="52"/>
      <c r="BJ132" s="52"/>
      <c r="BK132" s="52"/>
      <c r="BL132" s="53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</row>
    <row r="133" spans="1:98" ht="15" customHeight="1" x14ac:dyDescent="0.25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3" t="str">
        <f>"{{"&amp;I130&amp;"}"&amp;", "&amp;$I$1&amp;"},  //"&amp;I132&amp;":"&amp;M128&amp;":"&amp;O128</f>
        <v>{{0x0, 0x0, 0x0, 0x0, 0x0, 0x0, 0x0, 0x0}, 8},  //(:0:40</v>
      </c>
      <c r="J133" s="34"/>
      <c r="K133" s="34"/>
      <c r="L133" s="34"/>
      <c r="M133" s="34"/>
      <c r="N133" s="34"/>
      <c r="O133" s="34"/>
      <c r="P133" s="35"/>
      <c r="Q133" s="5">
        <v>0</v>
      </c>
      <c r="R133" s="2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33" t="str">
        <f>"{{"&amp;Y130&amp;"}"&amp;", "&amp;$I$1&amp;"},  //"&amp;Y132&amp;":"&amp;AC128&amp;":"&amp;AE128</f>
        <v>{{0x0, 0x0, 0x0, 0x0, 0x0, 0x0, 0x0, 0x0}, 8},  //):0:41</v>
      </c>
      <c r="Z133" s="34"/>
      <c r="AA133" s="34"/>
      <c r="AB133" s="34"/>
      <c r="AC133" s="34"/>
      <c r="AD133" s="34"/>
      <c r="AE133" s="34"/>
      <c r="AF133" s="35"/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33" t="str">
        <f>"{{"&amp;AO130&amp;"}"&amp;", "&amp;$I$1&amp;"},  //"&amp;AO132&amp;":"&amp;AS128&amp;":"&amp;AU128</f>
        <v>{{0x0, 0x0, 0x0, 0x0, 0x0, 0x0, 0x0, 0x0}, 8},  //*:0:42</v>
      </c>
      <c r="AP133" s="34"/>
      <c r="AQ133" s="34"/>
      <c r="AR133" s="34"/>
      <c r="AS133" s="34"/>
      <c r="AT133" s="34"/>
      <c r="AU133" s="34"/>
      <c r="AV133" s="35"/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s="2">
        <v>0</v>
      </c>
      <c r="BC133" s="2">
        <v>0</v>
      </c>
      <c r="BD133" s="2">
        <v>0</v>
      </c>
      <c r="BE133" s="33" t="str">
        <f>"{{"&amp;BE130&amp;"}"&amp;", "&amp;$I$1&amp;"},  //"&amp;BE132&amp;":"&amp;BI128&amp;":"&amp;BK128</f>
        <v>{{0x0, 0x8, 0x8, 0x3E, 0x8, 0x8, 0x0, 0x0}, 8},  //+:0:43</v>
      </c>
      <c r="BF133" s="34"/>
      <c r="BG133" s="34"/>
      <c r="BH133" s="34"/>
      <c r="BI133" s="34"/>
      <c r="BJ133" s="34"/>
      <c r="BK133" s="34"/>
      <c r="BL133" s="35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</row>
    <row r="134" spans="1:98" x14ac:dyDescent="0.25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3"/>
      <c r="J134" s="34"/>
      <c r="K134" s="34"/>
      <c r="L134" s="34"/>
      <c r="M134" s="34"/>
      <c r="N134" s="34"/>
      <c r="O134" s="34"/>
      <c r="P134" s="35"/>
      <c r="Q134" s="5">
        <v>0</v>
      </c>
      <c r="R134" s="2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33"/>
      <c r="Z134" s="34"/>
      <c r="AA134" s="34"/>
      <c r="AB134" s="34"/>
      <c r="AC134" s="34"/>
      <c r="AD134" s="34"/>
      <c r="AE134" s="34"/>
      <c r="AF134" s="35"/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33"/>
      <c r="AP134" s="34"/>
      <c r="AQ134" s="34"/>
      <c r="AR134" s="34"/>
      <c r="AS134" s="34"/>
      <c r="AT134" s="34"/>
      <c r="AU134" s="34"/>
      <c r="AV134" s="35"/>
      <c r="AW134" s="2">
        <v>0</v>
      </c>
      <c r="AX134" s="2">
        <v>0</v>
      </c>
      <c r="AY134" s="2">
        <v>0</v>
      </c>
      <c r="AZ134" s="2">
        <v>1</v>
      </c>
      <c r="BA134" s="2">
        <v>0</v>
      </c>
      <c r="BB134" s="2">
        <v>0</v>
      </c>
      <c r="BC134" s="2">
        <v>0</v>
      </c>
      <c r="BD134" s="2">
        <v>0</v>
      </c>
      <c r="BE134" s="33"/>
      <c r="BF134" s="34"/>
      <c r="BG134" s="34"/>
      <c r="BH134" s="34"/>
      <c r="BI134" s="34"/>
      <c r="BJ134" s="34"/>
      <c r="BK134" s="34"/>
      <c r="BL134" s="35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</row>
    <row r="135" spans="1:98" x14ac:dyDescent="0.25">
      <c r="A135" s="2">
        <v>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Q135" s="5">
        <v>0</v>
      </c>
      <c r="R135" s="2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4"/>
      <c r="AP135" s="4"/>
      <c r="AQ135" s="4"/>
      <c r="AR135" s="4"/>
      <c r="AS135" s="4"/>
      <c r="AT135" s="4"/>
      <c r="AU135" s="4"/>
      <c r="AV135" s="4"/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4"/>
      <c r="BF135" s="4"/>
      <c r="BG135" s="4"/>
      <c r="BH135" s="4"/>
      <c r="BI135" s="4"/>
      <c r="BJ135" s="4"/>
      <c r="BK135" s="4"/>
      <c r="BL135" s="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</row>
    <row r="136" spans="1:98" x14ac:dyDescent="0.25">
      <c r="A136" s="2">
        <v>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4"/>
      <c r="AP136" s="4"/>
      <c r="AQ136" s="4"/>
      <c r="AR136" s="4"/>
      <c r="AS136" s="4"/>
      <c r="AT136" s="4"/>
      <c r="AU136" s="4"/>
      <c r="AV136" s="4"/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4"/>
      <c r="BF136" s="4"/>
      <c r="BG136" s="4"/>
      <c r="BH136" s="4"/>
      <c r="BI136" s="4"/>
      <c r="BJ136" s="4"/>
      <c r="BK136" s="4"/>
      <c r="BL136" s="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</row>
    <row r="137" spans="1:98" s="5" customFormat="1" x14ac:dyDescent="0.25">
      <c r="A137" s="7">
        <v>1</v>
      </c>
      <c r="B137" s="7">
        <v>2</v>
      </c>
      <c r="C137" s="7">
        <v>3</v>
      </c>
      <c r="D137" s="7">
        <v>4</v>
      </c>
      <c r="E137" s="7">
        <v>5</v>
      </c>
      <c r="F137" s="7">
        <v>6</v>
      </c>
      <c r="G137" s="7">
        <v>7</v>
      </c>
      <c r="H137" s="7">
        <v>8</v>
      </c>
      <c r="I137" s="50" t="s">
        <v>0</v>
      </c>
      <c r="J137" s="50"/>
      <c r="K137" s="50"/>
      <c r="L137" s="50"/>
      <c r="M137" s="49">
        <v>0</v>
      </c>
      <c r="N137" s="49"/>
      <c r="O137" s="49">
        <v>44</v>
      </c>
      <c r="P137" s="49"/>
      <c r="Q137" s="7">
        <v>1</v>
      </c>
      <c r="R137" s="7">
        <v>2</v>
      </c>
      <c r="S137" s="7">
        <v>3</v>
      </c>
      <c r="T137" s="7">
        <v>4</v>
      </c>
      <c r="U137" s="7">
        <v>5</v>
      </c>
      <c r="V137" s="7">
        <v>6</v>
      </c>
      <c r="W137" s="7">
        <v>7</v>
      </c>
      <c r="X137" s="7">
        <v>8</v>
      </c>
      <c r="Y137" s="50" t="s">
        <v>0</v>
      </c>
      <c r="Z137" s="50"/>
      <c r="AA137" s="50"/>
      <c r="AB137" s="50"/>
      <c r="AC137" s="49">
        <v>0</v>
      </c>
      <c r="AD137" s="49"/>
      <c r="AE137" s="49">
        <v>45</v>
      </c>
      <c r="AF137" s="49"/>
      <c r="AG137" s="7">
        <v>1</v>
      </c>
      <c r="AH137" s="7">
        <v>2</v>
      </c>
      <c r="AI137" s="7">
        <v>3</v>
      </c>
      <c r="AJ137" s="7">
        <v>4</v>
      </c>
      <c r="AK137" s="7">
        <v>5</v>
      </c>
      <c r="AL137" s="7">
        <v>6</v>
      </c>
      <c r="AM137" s="7">
        <v>7</v>
      </c>
      <c r="AN137" s="7">
        <v>8</v>
      </c>
      <c r="AO137" s="50" t="s">
        <v>0</v>
      </c>
      <c r="AP137" s="50"/>
      <c r="AQ137" s="50"/>
      <c r="AR137" s="50"/>
      <c r="AS137" s="49">
        <v>0</v>
      </c>
      <c r="AT137" s="49"/>
      <c r="AU137" s="49">
        <v>46</v>
      </c>
      <c r="AV137" s="49"/>
      <c r="AW137" s="7">
        <v>1</v>
      </c>
      <c r="AX137" s="7">
        <v>2</v>
      </c>
      <c r="AY137" s="7">
        <v>3</v>
      </c>
      <c r="AZ137" s="7">
        <v>4</v>
      </c>
      <c r="BA137" s="7">
        <v>5</v>
      </c>
      <c r="BB137" s="7">
        <v>6</v>
      </c>
      <c r="BC137" s="7">
        <v>7</v>
      </c>
      <c r="BD137" s="7">
        <v>8</v>
      </c>
      <c r="BE137" s="50" t="s">
        <v>0</v>
      </c>
      <c r="BF137" s="50"/>
      <c r="BG137" s="50"/>
      <c r="BH137" s="50"/>
      <c r="BI137" s="49">
        <v>0</v>
      </c>
      <c r="BJ137" s="49"/>
      <c r="BK137" s="49">
        <v>47</v>
      </c>
      <c r="BL137" s="49"/>
      <c r="BM137" s="20"/>
      <c r="BN137" s="20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</row>
    <row r="138" spans="1:98" x14ac:dyDescent="0.25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4" t="str">
        <f>BIN2HEX(A145&amp;A144&amp;A143&amp;A142&amp;A141&amp;A140&amp;A139&amp;A138)</f>
        <v>0</v>
      </c>
      <c r="J138" s="4" t="str">
        <f t="shared" ref="J138" si="410">BIN2HEX(B145&amp;B144&amp;B143&amp;B142&amp;B141&amp;B140&amp;B139&amp;B138)</f>
        <v>0</v>
      </c>
      <c r="K138" s="4" t="str">
        <f t="shared" ref="K138" si="411">BIN2HEX(C145&amp;C144&amp;C143&amp;C142&amp;C141&amp;C140&amp;C139&amp;C138)</f>
        <v>60</v>
      </c>
      <c r="L138" s="4" t="str">
        <f t="shared" ref="L138" si="412">BIN2HEX(D145&amp;D144&amp;D143&amp;D142&amp;D141&amp;D140&amp;D139&amp;D138)</f>
        <v>E0</v>
      </c>
      <c r="M138" s="4" t="str">
        <f t="shared" ref="M138" si="413">BIN2HEX(E145&amp;E144&amp;E143&amp;E142&amp;E141&amp;E140&amp;E139&amp;E138)</f>
        <v>0</v>
      </c>
      <c r="N138" s="4" t="str">
        <f t="shared" ref="N138" si="414">BIN2HEX(F145&amp;F144&amp;F143&amp;F142&amp;F141&amp;F140&amp;F139&amp;F138)</f>
        <v>0</v>
      </c>
      <c r="O138" s="4" t="str">
        <f t="shared" ref="O138" si="415">BIN2HEX(G145&amp;G144&amp;G143&amp;G142&amp;G141&amp;G140&amp;G139&amp;G138)</f>
        <v>0</v>
      </c>
      <c r="P138" s="4" t="str">
        <f>BIN2HEX(H145&amp;H144&amp;H143&amp;H142&amp;H141&amp;H140&amp;H139&amp;H138)</f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4" t="str">
        <f>BIN2HEX(Q145&amp;Q144&amp;Q143&amp;Q142&amp;Q141&amp;Q140&amp;Q139&amp;Q138)</f>
        <v>0</v>
      </c>
      <c r="Z138" s="4" t="str">
        <f t="shared" ref="Z138" si="416">BIN2HEX(R145&amp;R144&amp;R143&amp;R142&amp;R141&amp;R140&amp;R139&amp;R138)</f>
        <v>8</v>
      </c>
      <c r="AA138" s="4" t="str">
        <f t="shared" ref="AA138" si="417">BIN2HEX(S145&amp;S144&amp;S143&amp;S142&amp;S141&amp;S140&amp;S139&amp;S138)</f>
        <v>8</v>
      </c>
      <c r="AB138" s="4" t="str">
        <f t="shared" ref="AB138" si="418">BIN2HEX(T145&amp;T144&amp;T143&amp;T142&amp;T141&amp;T140&amp;T139&amp;T138)</f>
        <v>8</v>
      </c>
      <c r="AC138" s="4" t="str">
        <f t="shared" ref="AC138" si="419">BIN2HEX(U145&amp;U144&amp;U143&amp;U142&amp;U141&amp;U140&amp;U139&amp;U138)</f>
        <v>8</v>
      </c>
      <c r="AD138" s="4" t="str">
        <f t="shared" ref="AD138" si="420">BIN2HEX(V145&amp;V144&amp;V143&amp;V142&amp;V141&amp;V140&amp;V139&amp;V138)</f>
        <v>8</v>
      </c>
      <c r="AE138" s="4" t="str">
        <f t="shared" ref="AE138" si="421">BIN2HEX(W145&amp;W144&amp;W143&amp;W142&amp;W141&amp;W140&amp;W139&amp;W138)</f>
        <v>0</v>
      </c>
      <c r="AF138" s="3" t="str">
        <f>BIN2HEX(X145&amp;X144&amp;X143&amp;X142&amp;X141&amp;X140&amp;X139&amp;X138)</f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4" t="str">
        <f>BIN2HEX(AG145&amp;AG144&amp;AG143&amp;AG142&amp;AG141&amp;AG140&amp;AG139&amp;AG138)</f>
        <v>0</v>
      </c>
      <c r="AP138" s="4" t="str">
        <f t="shared" ref="AP138" si="422">BIN2HEX(AH145&amp;AH144&amp;AH143&amp;AH142&amp;AH141&amp;AH140&amp;AH139&amp;AH138)</f>
        <v>0</v>
      </c>
      <c r="AQ138" s="4" t="str">
        <f t="shared" ref="AQ138" si="423">BIN2HEX(AI145&amp;AI144&amp;AI143&amp;AI142&amp;AI141&amp;AI140&amp;AI139&amp;AI138)</f>
        <v>60</v>
      </c>
      <c r="AR138" s="4" t="str">
        <f t="shared" ref="AR138" si="424">BIN2HEX(AJ145&amp;AJ144&amp;AJ143&amp;AJ142&amp;AJ141&amp;AJ140&amp;AJ139&amp;AJ138)</f>
        <v>60</v>
      </c>
      <c r="AS138" s="4" t="str">
        <f t="shared" ref="AS138" si="425">BIN2HEX(AK145&amp;AK144&amp;AK143&amp;AK142&amp;AK141&amp;AK140&amp;AK139&amp;AK138)</f>
        <v>0</v>
      </c>
      <c r="AT138" s="4" t="str">
        <f t="shared" ref="AT138" si="426">BIN2HEX(AL145&amp;AL144&amp;AL143&amp;AL142&amp;AL141&amp;AL140&amp;AL139&amp;AL138)</f>
        <v>0</v>
      </c>
      <c r="AU138" s="4" t="str">
        <f t="shared" ref="AU138" si="427">BIN2HEX(AM145&amp;AM144&amp;AM143&amp;AM142&amp;AM141&amp;AM140&amp;AM139&amp;AM138)</f>
        <v>0</v>
      </c>
      <c r="AV138" s="4" t="str">
        <f>BIN2HEX(AN145&amp;AN144&amp;AN143&amp;AN142&amp;AN141&amp;AN140&amp;AN139&amp;AN138)</f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4" t="str">
        <f>BIN2HEX(AW145&amp;AW144&amp;AW143&amp;AW142&amp;AW141&amp;AW140&amp;AW139&amp;AW138)</f>
        <v>0</v>
      </c>
      <c r="BF138" s="4" t="str">
        <f t="shared" ref="BF138" si="428">BIN2HEX(AX145&amp;AX144&amp;AX143&amp;AX142&amp;AX141&amp;AX140&amp;AX139&amp;AX138)</f>
        <v>0</v>
      </c>
      <c r="BG138" s="4" t="str">
        <f t="shared" ref="BG138" si="429">BIN2HEX(AY145&amp;AY144&amp;AY143&amp;AY142&amp;AY141&amp;AY140&amp;AY139&amp;AY138)</f>
        <v>0</v>
      </c>
      <c r="BH138" s="4" t="str">
        <f t="shared" ref="BH138" si="430">BIN2HEX(AZ145&amp;AZ144&amp;AZ143&amp;AZ142&amp;AZ141&amp;AZ140&amp;AZ139&amp;AZ138)</f>
        <v>0</v>
      </c>
      <c r="BI138" s="4" t="str">
        <f t="shared" ref="BI138" si="431">BIN2HEX(BA145&amp;BA144&amp;BA143&amp;BA142&amp;BA141&amp;BA140&amp;BA139&amp;BA138)</f>
        <v>0</v>
      </c>
      <c r="BJ138" s="4" t="str">
        <f t="shared" ref="BJ138" si="432">BIN2HEX(BB145&amp;BB144&amp;BB143&amp;BB142&amp;BB141&amp;BB140&amp;BB139&amp;BB138)</f>
        <v>0</v>
      </c>
      <c r="BK138" s="4" t="str">
        <f t="shared" ref="BK138" si="433">BIN2HEX(BC145&amp;BC144&amp;BC143&amp;BC142&amp;BC141&amp;BC140&amp;BC139&amp;BC138)</f>
        <v>0</v>
      </c>
      <c r="BL138" s="4" t="str">
        <f>BIN2HEX(BD145&amp;BD144&amp;BD143&amp;BD142&amp;BD141&amp;BD140&amp;BD139&amp;BD138)</f>
        <v>0</v>
      </c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</row>
    <row r="139" spans="1:98" ht="15" customHeight="1" x14ac:dyDescent="0.25">
      <c r="A139" s="5">
        <v>0</v>
      </c>
      <c r="B139" s="2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46" t="str">
        <f>"0x"&amp;I138&amp;", 0x"&amp;J138&amp;", 0x"&amp;K138&amp;", 0x"&amp;L138&amp;", 0x"&amp;M138&amp;", 0x"&amp;N138&amp;", 0x"&amp;O138&amp;", 0x"&amp;P138</f>
        <v>0x0, 0x0, 0x60, 0xE0, 0x0, 0x0, 0x0, 0x0</v>
      </c>
      <c r="J139" s="47"/>
      <c r="K139" s="47"/>
      <c r="L139" s="47"/>
      <c r="M139" s="47"/>
      <c r="N139" s="47"/>
      <c r="O139" s="47"/>
      <c r="P139" s="47"/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46" t="str">
        <f>"0x"&amp;Y138&amp;", 0x"&amp;Z138&amp;", 0x"&amp;AA138&amp;", 0x"&amp;AB138&amp;", 0x"&amp;AC138&amp;", 0x"&amp;AD138&amp;", 0x"&amp;AE138&amp;", 0x"&amp;AF138</f>
        <v>0x0, 0x8, 0x8, 0x8, 0x8, 0x8, 0x0, 0x0</v>
      </c>
      <c r="Z139" s="47"/>
      <c r="AA139" s="47"/>
      <c r="AB139" s="47"/>
      <c r="AC139" s="47"/>
      <c r="AD139" s="47"/>
      <c r="AE139" s="47"/>
      <c r="AF139" s="48"/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46" t="str">
        <f>"0x"&amp;AO138&amp;", 0x"&amp;AP138&amp;", 0x"&amp;AQ138&amp;", 0x"&amp;AR138&amp;", 0x"&amp;AS138&amp;", 0x"&amp;AT138&amp;", 0x"&amp;AU138&amp;", 0x"&amp;AV138</f>
        <v>0x0, 0x0, 0x60, 0x60, 0x0, 0x0, 0x0, 0x0</v>
      </c>
      <c r="AP139" s="47"/>
      <c r="AQ139" s="47"/>
      <c r="AR139" s="47"/>
      <c r="AS139" s="47"/>
      <c r="AT139" s="47"/>
      <c r="AU139" s="47"/>
      <c r="AV139" s="47"/>
      <c r="AW139" s="5">
        <v>0</v>
      </c>
      <c r="AX139" s="2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46" t="str">
        <f>"0x"&amp;BE138&amp;", 0x"&amp;BF138&amp;", 0x"&amp;BG138&amp;", 0x"&amp;BH138&amp;", 0x"&amp;BI138&amp;", 0x"&amp;BJ138&amp;", 0x"&amp;BK138&amp;", 0x"&amp;BL138</f>
        <v>0x0, 0x0, 0x0, 0x0, 0x0, 0x0, 0x0, 0x0</v>
      </c>
      <c r="BF139" s="47"/>
      <c r="BG139" s="47"/>
      <c r="BH139" s="47"/>
      <c r="BI139" s="47"/>
      <c r="BJ139" s="47"/>
      <c r="BK139" s="47"/>
      <c r="BL139" s="48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</row>
    <row r="140" spans="1:98" x14ac:dyDescent="0.25">
      <c r="A140" s="5">
        <v>0</v>
      </c>
      <c r="B140" s="2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46"/>
      <c r="J140" s="47"/>
      <c r="K140" s="47"/>
      <c r="L140" s="47"/>
      <c r="M140" s="47"/>
      <c r="N140" s="47"/>
      <c r="O140" s="47"/>
      <c r="P140" s="47"/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46"/>
      <c r="Z140" s="47"/>
      <c r="AA140" s="47"/>
      <c r="AB140" s="47"/>
      <c r="AC140" s="47"/>
      <c r="AD140" s="47"/>
      <c r="AE140" s="47"/>
      <c r="AF140" s="48"/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46"/>
      <c r="AP140" s="47"/>
      <c r="AQ140" s="47"/>
      <c r="AR140" s="47"/>
      <c r="AS140" s="47"/>
      <c r="AT140" s="47"/>
      <c r="AU140" s="47"/>
      <c r="AV140" s="47"/>
      <c r="AW140" s="5">
        <v>0</v>
      </c>
      <c r="AX140" s="2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46"/>
      <c r="BF140" s="47"/>
      <c r="BG140" s="47"/>
      <c r="BH140" s="47"/>
      <c r="BI140" s="47"/>
      <c r="BJ140" s="47"/>
      <c r="BK140" s="47"/>
      <c r="BL140" s="48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</row>
    <row r="141" spans="1:98" x14ac:dyDescent="0.25">
      <c r="A141" s="5">
        <v>0</v>
      </c>
      <c r="B141" s="2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1" t="s">
        <v>42</v>
      </c>
      <c r="J141" s="52"/>
      <c r="K141" s="52"/>
      <c r="L141" s="52"/>
      <c r="M141" s="52"/>
      <c r="N141" s="52"/>
      <c r="O141" s="52"/>
      <c r="P141" s="53"/>
      <c r="Q141" s="2">
        <v>0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0</v>
      </c>
      <c r="X141" s="2">
        <v>0</v>
      </c>
      <c r="Y141" s="54" t="s">
        <v>44</v>
      </c>
      <c r="Z141" s="52"/>
      <c r="AA141" s="52"/>
      <c r="AB141" s="52"/>
      <c r="AC141" s="52"/>
      <c r="AD141" s="52"/>
      <c r="AE141" s="52"/>
      <c r="AF141" s="53"/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51" t="s">
        <v>41</v>
      </c>
      <c r="AP141" s="52"/>
      <c r="AQ141" s="52"/>
      <c r="AR141" s="52"/>
      <c r="AS141" s="52"/>
      <c r="AT141" s="52"/>
      <c r="AU141" s="52"/>
      <c r="AV141" s="53"/>
      <c r="AW141" s="5">
        <v>0</v>
      </c>
      <c r="AX141" s="2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4" t="s">
        <v>40</v>
      </c>
      <c r="BF141" s="52"/>
      <c r="BG141" s="52"/>
      <c r="BH141" s="52"/>
      <c r="BI141" s="52"/>
      <c r="BJ141" s="52"/>
      <c r="BK141" s="52"/>
      <c r="BL141" s="53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</row>
    <row r="142" spans="1:98" ht="15" customHeight="1" x14ac:dyDescent="0.25">
      <c r="A142" s="5">
        <v>0</v>
      </c>
      <c r="B142" s="2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33" t="str">
        <f>"{{"&amp;I139&amp;"}"&amp;", "&amp;$I$1&amp;"},  //"&amp;I141&amp;":"&amp;M137&amp;":"&amp;O137</f>
        <v>{{0x0, 0x0, 0x60, 0xE0, 0x0, 0x0, 0x0, 0x0}, 8},  //,:0:44</v>
      </c>
      <c r="J142" s="34"/>
      <c r="K142" s="34"/>
      <c r="L142" s="34"/>
      <c r="M142" s="34"/>
      <c r="N142" s="34"/>
      <c r="O142" s="34"/>
      <c r="P142" s="35"/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33" t="str">
        <f>"{{"&amp;Y139&amp;"}"&amp;", "&amp;$I$1&amp;"},  //"&amp;Y141&amp;":"&amp;AC137&amp;":"&amp;AE137</f>
        <v>{{0x0, 0x8, 0x8, 0x8, 0x8, 0x8, 0x0, 0x0}, 8},  //-:0:45</v>
      </c>
      <c r="Z142" s="34"/>
      <c r="AA142" s="34"/>
      <c r="AB142" s="34"/>
      <c r="AC142" s="34"/>
      <c r="AD142" s="34"/>
      <c r="AE142" s="34"/>
      <c r="AF142" s="35"/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33" t="str">
        <f>"{{"&amp;AO139&amp;"}"&amp;", "&amp;$I$1&amp;"},  //"&amp;AO141&amp;":"&amp;AS137&amp;":"&amp;AU137</f>
        <v>{{0x0, 0x0, 0x60, 0x60, 0x0, 0x0, 0x0, 0x0}, 8},  //.:0:46</v>
      </c>
      <c r="AP142" s="34"/>
      <c r="AQ142" s="34"/>
      <c r="AR142" s="34"/>
      <c r="AS142" s="34"/>
      <c r="AT142" s="34"/>
      <c r="AU142" s="34"/>
      <c r="AV142" s="35"/>
      <c r="AW142" s="5">
        <v>0</v>
      </c>
      <c r="AX142" s="2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33" t="str">
        <f>"{{"&amp;BE139&amp;"}"&amp;", "&amp;$I$1&amp;"},  //"&amp;BE141&amp;":"&amp;BI137&amp;":"&amp;BK137</f>
        <v>{{0x0, 0x0, 0x0, 0x0, 0x0, 0x0, 0x0, 0x0}, 8},  // /:0:47</v>
      </c>
      <c r="BF142" s="34"/>
      <c r="BG142" s="34"/>
      <c r="BH142" s="34"/>
      <c r="BI142" s="34"/>
      <c r="BJ142" s="34"/>
      <c r="BK142" s="34"/>
      <c r="BL142" s="35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</row>
    <row r="143" spans="1:98" x14ac:dyDescent="0.25">
      <c r="A143" s="5">
        <v>0</v>
      </c>
      <c r="B143" s="2">
        <v>0</v>
      </c>
      <c r="C143" s="2">
        <v>1</v>
      </c>
      <c r="D143" s="2">
        <v>1</v>
      </c>
      <c r="E143" s="5">
        <v>0</v>
      </c>
      <c r="F143" s="5">
        <v>0</v>
      </c>
      <c r="G143" s="5">
        <v>0</v>
      </c>
      <c r="H143" s="5">
        <v>0</v>
      </c>
      <c r="I143" s="33"/>
      <c r="J143" s="34"/>
      <c r="K143" s="34"/>
      <c r="L143" s="34"/>
      <c r="M143" s="34"/>
      <c r="N143" s="34"/>
      <c r="O143" s="34"/>
      <c r="P143" s="35"/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33"/>
      <c r="Z143" s="34"/>
      <c r="AA143" s="34"/>
      <c r="AB143" s="34"/>
      <c r="AC143" s="34"/>
      <c r="AD143" s="34"/>
      <c r="AE143" s="34"/>
      <c r="AF143" s="35"/>
      <c r="AG143" s="2">
        <v>0</v>
      </c>
      <c r="AH143" s="2">
        <v>0</v>
      </c>
      <c r="AI143" s="2">
        <v>1</v>
      </c>
      <c r="AJ143" s="2">
        <v>1</v>
      </c>
      <c r="AK143" s="2">
        <v>0</v>
      </c>
      <c r="AL143" s="2">
        <v>0</v>
      </c>
      <c r="AM143" s="2">
        <v>0</v>
      </c>
      <c r="AN143" s="2">
        <v>0</v>
      </c>
      <c r="AO143" s="33"/>
      <c r="AP143" s="34"/>
      <c r="AQ143" s="34"/>
      <c r="AR143" s="34"/>
      <c r="AS143" s="34"/>
      <c r="AT143" s="34"/>
      <c r="AU143" s="34"/>
      <c r="AV143" s="35"/>
      <c r="AW143" s="5">
        <v>0</v>
      </c>
      <c r="AX143" s="2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33"/>
      <c r="BF143" s="34"/>
      <c r="BG143" s="34"/>
      <c r="BH143" s="34"/>
      <c r="BI143" s="34"/>
      <c r="BJ143" s="34"/>
      <c r="BK143" s="34"/>
      <c r="BL143" s="35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</row>
    <row r="144" spans="1:98" x14ac:dyDescent="0.25">
      <c r="A144" s="5">
        <v>0</v>
      </c>
      <c r="B144" s="2">
        <v>0</v>
      </c>
      <c r="C144" s="2">
        <v>1</v>
      </c>
      <c r="D144" s="2">
        <v>1</v>
      </c>
      <c r="E144" s="5">
        <v>0</v>
      </c>
      <c r="F144" s="5">
        <v>0</v>
      </c>
      <c r="G144" s="5">
        <v>0</v>
      </c>
      <c r="H144" s="5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AG144" s="2">
        <v>0</v>
      </c>
      <c r="AH144" s="2">
        <v>0</v>
      </c>
      <c r="AI144" s="2">
        <v>1</v>
      </c>
      <c r="AJ144" s="2">
        <v>1</v>
      </c>
      <c r="AK144" s="2">
        <v>0</v>
      </c>
      <c r="AL144" s="2">
        <v>0</v>
      </c>
      <c r="AM144" s="2">
        <v>0</v>
      </c>
      <c r="AN144" s="2">
        <v>0</v>
      </c>
      <c r="AO144" s="4"/>
      <c r="AP144" s="4"/>
      <c r="AQ144" s="4"/>
      <c r="AR144" s="4"/>
      <c r="AS144" s="4"/>
      <c r="AT144" s="4"/>
      <c r="AU144" s="4"/>
      <c r="AV144" s="4"/>
      <c r="AW144" s="5">
        <v>0</v>
      </c>
      <c r="AX144" s="2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4"/>
      <c r="BF144" s="4"/>
      <c r="BG144" s="4"/>
      <c r="BH144" s="4"/>
      <c r="BI144" s="4"/>
      <c r="BJ144" s="4"/>
      <c r="BK144" s="4"/>
      <c r="BL144" s="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</row>
    <row r="145" spans="1:98" x14ac:dyDescent="0.25">
      <c r="A145" s="5">
        <v>0</v>
      </c>
      <c r="B145" s="5">
        <v>0</v>
      </c>
      <c r="C145" s="5">
        <v>0</v>
      </c>
      <c r="D145" s="5">
        <v>1</v>
      </c>
      <c r="E145" s="5">
        <v>0</v>
      </c>
      <c r="F145" s="5">
        <v>0</v>
      </c>
      <c r="G145" s="5">
        <v>0</v>
      </c>
      <c r="H145" s="5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4"/>
      <c r="AP145" s="4"/>
      <c r="AQ145" s="4"/>
      <c r="AR145" s="4"/>
      <c r="AS145" s="4"/>
      <c r="AT145" s="4"/>
      <c r="AU145" s="4"/>
      <c r="AV145" s="4"/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4"/>
      <c r="BF145" s="4"/>
      <c r="BG145" s="4"/>
      <c r="BH145" s="4"/>
      <c r="BI145" s="4"/>
      <c r="BJ145" s="4"/>
      <c r="BK145" s="4"/>
      <c r="BL145" s="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</row>
    <row r="146" spans="1:98" ht="15" customHeight="1" x14ac:dyDescent="0.25">
      <c r="A146" s="7"/>
      <c r="B146" s="7"/>
      <c r="C146" s="7"/>
      <c r="D146" s="7"/>
      <c r="E146" s="7"/>
      <c r="F146" s="7"/>
      <c r="G146" s="7"/>
      <c r="H146" s="7"/>
      <c r="I146" s="50"/>
      <c r="J146" s="50"/>
      <c r="K146" s="50"/>
      <c r="L146" s="50"/>
      <c r="M146" s="49"/>
      <c r="N146" s="49"/>
      <c r="O146" s="49"/>
      <c r="P146" s="49"/>
      <c r="Q146" s="7"/>
      <c r="R146" s="7"/>
      <c r="S146" s="7"/>
      <c r="T146" s="7"/>
      <c r="U146" s="7"/>
      <c r="V146" s="7"/>
      <c r="W146" s="7"/>
      <c r="X146" s="7"/>
      <c r="Y146" s="50"/>
      <c r="Z146" s="50"/>
      <c r="AA146" s="50"/>
      <c r="AB146" s="50"/>
      <c r="AC146" s="49"/>
      <c r="AD146" s="49"/>
      <c r="AE146" s="49"/>
      <c r="AF146" s="49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</row>
    <row r="147" spans="1:98" x14ac:dyDescent="0.25">
      <c r="A147" s="2"/>
      <c r="B147" s="2"/>
      <c r="C147" s="2"/>
      <c r="D147" s="2"/>
      <c r="E147" s="2"/>
      <c r="F147" s="2"/>
      <c r="G147" s="2"/>
      <c r="H147" s="2"/>
      <c r="Q147" s="2"/>
      <c r="R147" s="2"/>
      <c r="S147" s="2"/>
      <c r="T147" s="2"/>
      <c r="U147" s="2"/>
      <c r="V147" s="2"/>
      <c r="W147" s="2"/>
      <c r="X147" s="2"/>
      <c r="AG147" s="55" t="str">
        <f>I115
&amp;CHAR(10)&amp;Y115
&amp;CHAR(10)&amp;AO115
&amp;CHAR(10)&amp;BE115
&amp;CHAR(10)&amp;I124
&amp;CHAR(10)&amp;Y124
&amp;CHAR(10)&amp;AO124
&amp;CHAR(10)&amp;BE124
&amp;CHAR(10)&amp;I133
&amp;CHAR(10)&amp;Y133
&amp;CHAR(10)&amp;AO133
&amp;CHAR(10)&amp;BE133
&amp;CHAR(10)&amp;I142
&amp;CHAR(10)&amp;Y142
&amp;CHAR(10)&amp;AO142
&amp;CHAR(10)&amp;BE142</f>
        <v>{{0x0, 0x0, 0x0, 0x0, 0x0, 0x0, 0x0, 0x0}, 8},  //:0:32
{{0x0, 0x0, 0x0, 0x5F, 0x0, 0x0, 0x0, 0x0}, 8},  //!:0:33
{{0x0, 0x0, 0x3, 0x0, 0x3, 0x0, 0x0, 0x0}, 8},  //":0:34
{{0x0, 0x14, 0x7F, 0x14, 0x7F, 0x14, 0x0, 0x0}, 8},  //#:0:35
{{0x0, 0x0, 0x0, 0x0, 0x0, 0x0, 0x0, 0x0}, 8},  //$:0:36
{{0x0, 0x0, 0x0, 0x0, 0x0, 0x0, 0x0, 0x0}, 8},  //%:0:37
{{0x0, 0x0, 0x0, 0x0, 0x0, 0x0, 0x0, 0x0}, 8},  //&amp;:0:38
{{0x0, 0x0, 0x0, 0x0, 0x3, 0x0, 0x0, 0x0}, 8},  //`:0:39
{{0x0, 0x0, 0x0, 0x0, 0x0, 0x0, 0x0, 0x0}, 8},  //(:0:40
{{0x0, 0x0, 0x0, 0x0, 0x0, 0x0, 0x0, 0x0}, 8},  //):0:41
{{0x0, 0x0, 0x0, 0x0, 0x0, 0x0, 0x0, 0x0}, 8},  //*:0:42
{{0x0, 0x8, 0x8, 0x3E, 0x8, 0x8, 0x0, 0x0}, 8},  //+:0:43
{{0x0, 0x0, 0x60, 0xE0, 0x0, 0x0, 0x0, 0x0}, 8},  //,:0:44
{{0x0, 0x8, 0x8, 0x8, 0x8, 0x8, 0x0, 0x0}, 8},  //-:0:45
{{0x0, 0x0, 0x60, 0x60, 0x0, 0x0, 0x0, 0x0}, 8},  //.:0:46
{{0x0, 0x0, 0x0, 0x0, 0x0, 0x0, 0x0, 0x0}, 8},  // /:0:47</v>
      </c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</row>
    <row r="148" spans="1:98" x14ac:dyDescent="0.25">
      <c r="A148" s="2"/>
      <c r="B148" s="2"/>
      <c r="C148" s="2"/>
      <c r="D148" s="2"/>
      <c r="E148" s="2"/>
      <c r="F148" s="2"/>
      <c r="G148" s="2"/>
      <c r="H148" s="2"/>
      <c r="I148" s="46"/>
      <c r="J148" s="47"/>
      <c r="K148" s="47"/>
      <c r="L148" s="47"/>
      <c r="M148" s="47"/>
      <c r="N148" s="47"/>
      <c r="O148" s="47"/>
      <c r="P148" s="47"/>
      <c r="R148" s="2"/>
      <c r="S148" s="2"/>
      <c r="T148" s="2"/>
      <c r="U148" s="2"/>
      <c r="V148" s="2"/>
      <c r="W148" s="2"/>
      <c r="Y148" s="46"/>
      <c r="Z148" s="47"/>
      <c r="AA148" s="47"/>
      <c r="AB148" s="47"/>
      <c r="AC148" s="47"/>
      <c r="AD148" s="47"/>
      <c r="AE148" s="47"/>
      <c r="AF148" s="48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</row>
    <row r="149" spans="1:98" x14ac:dyDescent="0.25">
      <c r="A149" s="2"/>
      <c r="B149" s="2"/>
      <c r="C149" s="2"/>
      <c r="D149" s="2"/>
      <c r="E149" s="2"/>
      <c r="F149" s="2"/>
      <c r="G149" s="2"/>
      <c r="H149" s="2"/>
      <c r="I149" s="46"/>
      <c r="J149" s="47"/>
      <c r="K149" s="47"/>
      <c r="L149" s="47"/>
      <c r="M149" s="47"/>
      <c r="N149" s="47"/>
      <c r="O149" s="47"/>
      <c r="P149" s="47"/>
      <c r="R149" s="2"/>
      <c r="S149" s="2"/>
      <c r="T149" s="2"/>
      <c r="U149" s="2"/>
      <c r="V149" s="2"/>
      <c r="W149" s="2"/>
      <c r="Y149" s="46"/>
      <c r="Z149" s="47"/>
      <c r="AA149" s="47"/>
      <c r="AB149" s="47"/>
      <c r="AC149" s="47"/>
      <c r="AD149" s="47"/>
      <c r="AE149" s="47"/>
      <c r="AF149" s="48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</row>
    <row r="150" spans="1:98" x14ac:dyDescent="0.25">
      <c r="A150" s="2"/>
      <c r="B150" s="2"/>
      <c r="C150" s="2"/>
      <c r="D150" s="2"/>
      <c r="E150" s="2"/>
      <c r="F150" s="2"/>
      <c r="G150" s="2"/>
      <c r="H150" s="2"/>
      <c r="I150" s="51"/>
      <c r="J150" s="52"/>
      <c r="K150" s="52"/>
      <c r="L150" s="52"/>
      <c r="M150" s="52"/>
      <c r="N150" s="52"/>
      <c r="O150" s="52"/>
      <c r="P150" s="53"/>
      <c r="R150" s="2"/>
      <c r="S150" s="2"/>
      <c r="T150" s="2"/>
      <c r="U150" s="2"/>
      <c r="V150" s="2"/>
      <c r="W150" s="2"/>
      <c r="Y150" s="54"/>
      <c r="Z150" s="52"/>
      <c r="AA150" s="52"/>
      <c r="AB150" s="52"/>
      <c r="AC150" s="52"/>
      <c r="AD150" s="52"/>
      <c r="AE150" s="52"/>
      <c r="AF150" s="53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</row>
    <row r="151" spans="1:98" x14ac:dyDescent="0.25">
      <c r="A151" s="2"/>
      <c r="B151" s="2"/>
      <c r="C151" s="2"/>
      <c r="D151" s="2"/>
      <c r="E151" s="2"/>
      <c r="F151" s="2"/>
      <c r="G151" s="2"/>
      <c r="H151" s="2"/>
      <c r="I151" s="33"/>
      <c r="J151" s="34"/>
      <c r="K151" s="34"/>
      <c r="L151" s="34"/>
      <c r="M151" s="34"/>
      <c r="N151" s="34"/>
      <c r="O151" s="34"/>
      <c r="P151" s="35"/>
      <c r="R151" s="2"/>
      <c r="Y151" s="33"/>
      <c r="Z151" s="34"/>
      <c r="AA151" s="34"/>
      <c r="AB151" s="34"/>
      <c r="AC151" s="34"/>
      <c r="AD151" s="34"/>
      <c r="AE151" s="34"/>
      <c r="AF151" s="35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</row>
    <row r="152" spans="1:98" x14ac:dyDescent="0.25">
      <c r="A152" s="2"/>
      <c r="B152" s="2"/>
      <c r="C152" s="2"/>
      <c r="D152" s="2"/>
      <c r="E152" s="2"/>
      <c r="F152" s="2"/>
      <c r="G152" s="2"/>
      <c r="H152" s="2"/>
      <c r="I152" s="33"/>
      <c r="J152" s="34"/>
      <c r="K152" s="34"/>
      <c r="L152" s="34"/>
      <c r="M152" s="34"/>
      <c r="N152" s="34"/>
      <c r="O152" s="34"/>
      <c r="P152" s="35"/>
      <c r="R152" s="2"/>
      <c r="Y152" s="33"/>
      <c r="Z152" s="34"/>
      <c r="AA152" s="34"/>
      <c r="AB152" s="34"/>
      <c r="AC152" s="34"/>
      <c r="AD152" s="34"/>
      <c r="AE152" s="34"/>
      <c r="AF152" s="35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</row>
    <row r="153" spans="1:98" x14ac:dyDescent="0.25">
      <c r="A153" s="2"/>
      <c r="B153" s="2"/>
      <c r="C153" s="2"/>
      <c r="D153" s="2"/>
      <c r="E153" s="2"/>
      <c r="F153" s="2"/>
      <c r="G153" s="2"/>
      <c r="H153" s="2"/>
      <c r="R153" s="2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</row>
    <row r="154" spans="1:98" x14ac:dyDescent="0.25">
      <c r="A154" s="2"/>
      <c r="B154" s="2"/>
      <c r="C154" s="2"/>
      <c r="D154" s="2"/>
      <c r="E154" s="2"/>
      <c r="F154" s="2"/>
      <c r="G154" s="2"/>
      <c r="H154" s="2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</row>
    <row r="155" spans="1:98" x14ac:dyDescent="0.25">
      <c r="A155" s="7"/>
      <c r="B155" s="7"/>
      <c r="C155" s="7"/>
      <c r="D155" s="7"/>
      <c r="E155" s="7"/>
      <c r="F155" s="7"/>
      <c r="G155" s="7"/>
      <c r="H155" s="7"/>
      <c r="I155" s="50"/>
      <c r="J155" s="50"/>
      <c r="K155" s="50"/>
      <c r="L155" s="50"/>
      <c r="M155" s="49"/>
      <c r="N155" s="49"/>
      <c r="O155" s="49"/>
      <c r="P155" s="49"/>
      <c r="Q155" s="7"/>
      <c r="R155" s="7"/>
      <c r="S155" s="7"/>
      <c r="T155" s="7"/>
      <c r="U155" s="7"/>
      <c r="V155" s="7"/>
      <c r="W155" s="7"/>
      <c r="X155" s="7"/>
      <c r="Y155" s="50"/>
      <c r="Z155" s="50"/>
      <c r="AA155" s="50"/>
      <c r="AB155" s="50"/>
      <c r="AC155" s="49"/>
      <c r="AD155" s="49"/>
      <c r="AE155" s="49"/>
      <c r="AF155" s="49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O155" s="29">
        <v>1</v>
      </c>
      <c r="BP155" s="29">
        <v>2</v>
      </c>
      <c r="BQ155" s="29">
        <v>3</v>
      </c>
      <c r="BR155" s="29">
        <v>4</v>
      </c>
      <c r="BS155" s="29">
        <v>5</v>
      </c>
      <c r="BT155" s="29">
        <v>6</v>
      </c>
      <c r="BU155" s="29">
        <v>7</v>
      </c>
      <c r="BV155" s="29">
        <v>8</v>
      </c>
      <c r="BW155" s="38" t="s">
        <v>0</v>
      </c>
      <c r="BX155" s="38"/>
      <c r="BY155" s="38"/>
      <c r="BZ155" s="38"/>
      <c r="CA155" s="39">
        <v>0</v>
      </c>
      <c r="CB155" s="39"/>
      <c r="CC155" s="39">
        <v>91</v>
      </c>
      <c r="CD155" s="39"/>
      <c r="CE155" s="29">
        <v>1</v>
      </c>
      <c r="CF155" s="29">
        <v>2</v>
      </c>
      <c r="CG155" s="29">
        <v>3</v>
      </c>
      <c r="CH155" s="29">
        <v>4</v>
      </c>
      <c r="CI155" s="29">
        <v>5</v>
      </c>
      <c r="CJ155" s="29">
        <v>6</v>
      </c>
      <c r="CK155" s="29">
        <v>7</v>
      </c>
      <c r="CL155" s="29">
        <v>8</v>
      </c>
      <c r="CM155" s="38" t="s">
        <v>0</v>
      </c>
      <c r="CN155" s="38"/>
      <c r="CO155" s="38"/>
      <c r="CP155" s="38"/>
      <c r="CQ155" s="39">
        <v>0</v>
      </c>
      <c r="CR155" s="39"/>
      <c r="CS155" s="39">
        <v>92</v>
      </c>
      <c r="CT155" s="39"/>
    </row>
    <row r="156" spans="1:98" x14ac:dyDescent="0.25">
      <c r="A156" s="2"/>
      <c r="B156" s="2"/>
      <c r="C156" s="2"/>
      <c r="D156" s="2"/>
      <c r="E156" s="2"/>
      <c r="F156" s="2"/>
      <c r="G156" s="2"/>
      <c r="H156" s="2"/>
      <c r="Q156" s="2"/>
      <c r="R156" s="2"/>
      <c r="S156" s="2"/>
      <c r="T156" s="2"/>
      <c r="U156" s="2"/>
      <c r="V156" s="2"/>
      <c r="W156" s="2"/>
      <c r="X156" s="2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O156" s="11">
        <v>0</v>
      </c>
      <c r="BP156" s="11">
        <v>0</v>
      </c>
      <c r="BQ156" s="11">
        <v>1</v>
      </c>
      <c r="BR156" s="11">
        <v>1</v>
      </c>
      <c r="BS156" s="11">
        <v>0</v>
      </c>
      <c r="BT156" s="11">
        <v>0</v>
      </c>
      <c r="BU156" s="11">
        <v>0</v>
      </c>
      <c r="BV156" s="11">
        <v>0</v>
      </c>
      <c r="BW156" s="12" t="str">
        <f>BIN2HEX(BO163&amp;BO162&amp;BO161&amp;BO160&amp;BO159&amp;BO158&amp;BO157&amp;BO156)</f>
        <v>0</v>
      </c>
      <c r="BX156" s="12" t="str">
        <f t="shared" ref="BX156" si="434">BIN2HEX(BP163&amp;BP162&amp;BP161&amp;BP160&amp;BP159&amp;BP158&amp;BP157&amp;BP156)</f>
        <v>0</v>
      </c>
      <c r="BY156" s="12" t="str">
        <f t="shared" ref="BY156" si="435">BIN2HEX(BQ163&amp;BQ162&amp;BQ161&amp;BQ160&amp;BQ159&amp;BQ158&amp;BQ157&amp;BQ156)</f>
        <v>7F</v>
      </c>
      <c r="BZ156" s="12" t="str">
        <f t="shared" ref="BZ156" si="436">BIN2HEX(BR163&amp;BR162&amp;BR161&amp;BR160&amp;BR159&amp;BR158&amp;BR157&amp;BR156)</f>
        <v>41</v>
      </c>
      <c r="CA156" s="12" t="str">
        <f t="shared" ref="CA156" si="437">BIN2HEX(BS163&amp;BS162&amp;BS161&amp;BS160&amp;BS159&amp;BS158&amp;BS157&amp;BS156)</f>
        <v>0</v>
      </c>
      <c r="CB156" s="12" t="str">
        <f>BIN2HEX(BT163&amp;BT162&amp;BT161&amp;BT160&amp;BT159&amp;BT158&amp;BT157&amp;BT156)</f>
        <v>0</v>
      </c>
      <c r="CC156" s="12" t="str">
        <f>BIN2HEX(BU163&amp;BU162&amp;BU161&amp;BU160&amp;BU159&amp;BU158&amp;BU157&amp;BU156)</f>
        <v>0</v>
      </c>
      <c r="CD156" s="12" t="str">
        <f>BIN2HEX(BV163&amp;BV162&amp;BV161&amp;BV160&amp;BV159&amp;BV158&amp;BV157&amp;BV156)</f>
        <v>0</v>
      </c>
      <c r="CE156" s="11">
        <v>0</v>
      </c>
      <c r="CF156" s="11">
        <v>0</v>
      </c>
      <c r="CG156" s="11">
        <v>1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2" t="str">
        <f>BIN2HEX(CE163&amp;CE162&amp;CE161&amp;CE160&amp;CE159&amp;CE158&amp;CE157&amp;CE156)</f>
        <v>0</v>
      </c>
      <c r="CN156" s="12" t="str">
        <f t="shared" ref="CN156" si="438">BIN2HEX(CF163&amp;CF162&amp;CF161&amp;CF160&amp;CF159&amp;CF158&amp;CF157&amp;CF156)</f>
        <v>0</v>
      </c>
      <c r="CO156" s="12" t="str">
        <f t="shared" ref="CO156" si="439">BIN2HEX(CG163&amp;CG162&amp;CG161&amp;CG160&amp;CG159&amp;CG158&amp;CG157&amp;CG156)</f>
        <v>3</v>
      </c>
      <c r="CP156" s="12" t="str">
        <f t="shared" ref="CP156" si="440">BIN2HEX(CH163&amp;CH162&amp;CH161&amp;CH160&amp;CH159&amp;CH158&amp;CH157&amp;CH156)</f>
        <v>1C</v>
      </c>
      <c r="CQ156" s="12" t="str">
        <f t="shared" ref="CQ156" si="441">BIN2HEX(CI163&amp;CI162&amp;CI161&amp;CI160&amp;CI159&amp;CI158&amp;CI157&amp;CI156)</f>
        <v>60</v>
      </c>
      <c r="CR156" s="12" t="str">
        <f>BIN2HEX(CJ163&amp;CJ162&amp;CJ161&amp;CJ160&amp;CJ159&amp;CJ158&amp;CJ157&amp;CJ156)</f>
        <v>0</v>
      </c>
      <c r="CS156" s="12" t="str">
        <f>BIN2HEX(CK163&amp;CK162&amp;CK161&amp;CK160&amp;CK159&amp;CK158&amp;CK157&amp;CK156)</f>
        <v>0</v>
      </c>
      <c r="CT156" s="12" t="str">
        <f>BIN2HEX(CL163&amp;CL162&amp;CL161&amp;CL160&amp;CL159&amp;CL158&amp;CL157&amp;CL156)</f>
        <v>0</v>
      </c>
    </row>
    <row r="157" spans="1:98" x14ac:dyDescent="0.25">
      <c r="A157" s="2"/>
      <c r="B157" s="2"/>
      <c r="C157" s="2"/>
      <c r="D157" s="2"/>
      <c r="E157" s="2"/>
      <c r="F157" s="2"/>
      <c r="G157" s="2"/>
      <c r="H157" s="2"/>
      <c r="I157" s="46"/>
      <c r="J157" s="47"/>
      <c r="K157" s="47"/>
      <c r="L157" s="47"/>
      <c r="M157" s="47"/>
      <c r="N157" s="47"/>
      <c r="O157" s="47"/>
      <c r="P157" s="47"/>
      <c r="Q157" s="2"/>
      <c r="R157" s="2"/>
      <c r="S157" s="2"/>
      <c r="T157" s="2"/>
      <c r="U157" s="2"/>
      <c r="V157" s="2"/>
      <c r="W157" s="2"/>
      <c r="X157" s="2"/>
      <c r="Y157" s="46"/>
      <c r="Z157" s="47"/>
      <c r="AA157" s="47"/>
      <c r="AB157" s="47"/>
      <c r="AC157" s="47"/>
      <c r="AD157" s="47"/>
      <c r="AE157" s="47"/>
      <c r="AF157" s="48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O157" s="14">
        <v>0</v>
      </c>
      <c r="BP157" s="14">
        <v>0</v>
      </c>
      <c r="BQ157" s="14">
        <v>1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36" t="str">
        <f>"0x"&amp;BW156&amp;", 0x"&amp;BX156&amp;", 0x"&amp;BY156&amp;", 0x"&amp;BZ156&amp;", 0x"&amp;CA156&amp;", 0x"&amp;CB156&amp;", 0x"&amp;CC156&amp;", 0x"&amp;CD156</f>
        <v>0x0, 0x0, 0x7F, 0x41, 0x0, 0x0, 0x0, 0x0</v>
      </c>
      <c r="BX157" s="34"/>
      <c r="BY157" s="34"/>
      <c r="BZ157" s="34"/>
      <c r="CA157" s="34"/>
      <c r="CB157" s="34"/>
      <c r="CC157" s="34"/>
      <c r="CD157" s="37"/>
      <c r="CE157" s="14">
        <v>0</v>
      </c>
      <c r="CF157" s="11">
        <v>0</v>
      </c>
      <c r="CG157" s="11">
        <v>1</v>
      </c>
      <c r="CH157" s="11">
        <v>0</v>
      </c>
      <c r="CI157" s="11">
        <v>0</v>
      </c>
      <c r="CJ157" s="11">
        <v>0</v>
      </c>
      <c r="CK157" s="14">
        <v>0</v>
      </c>
      <c r="CL157" s="14">
        <v>0</v>
      </c>
      <c r="CM157" s="36" t="str">
        <f>"0x"&amp;CM156&amp;", 0x"&amp;CN156&amp;", 0x"&amp;CO156&amp;", 0x"&amp;CP156&amp;", 0x"&amp;CQ156&amp;", 0x"&amp;CR156&amp;", 0x"&amp;CS156&amp;", 0x"&amp;CT156</f>
        <v>0x0, 0x0, 0x3, 0x1C, 0x60, 0x0, 0x0, 0x0</v>
      </c>
      <c r="CN157" s="34"/>
      <c r="CO157" s="34"/>
      <c r="CP157" s="34"/>
      <c r="CQ157" s="34"/>
      <c r="CR157" s="34"/>
      <c r="CS157" s="34"/>
      <c r="CT157" s="37"/>
    </row>
    <row r="158" spans="1:98" x14ac:dyDescent="0.25">
      <c r="A158" s="2"/>
      <c r="B158" s="2"/>
      <c r="C158" s="2"/>
      <c r="D158" s="2"/>
      <c r="E158" s="2"/>
      <c r="F158" s="2"/>
      <c r="G158" s="2"/>
      <c r="H158" s="2"/>
      <c r="I158" s="46"/>
      <c r="J158" s="47"/>
      <c r="K158" s="47"/>
      <c r="L158" s="47"/>
      <c r="M158" s="47"/>
      <c r="N158" s="47"/>
      <c r="O158" s="47"/>
      <c r="P158" s="47"/>
      <c r="Q158" s="2"/>
      <c r="R158" s="2"/>
      <c r="S158" s="2"/>
      <c r="T158" s="2"/>
      <c r="U158" s="2"/>
      <c r="V158" s="2"/>
      <c r="W158" s="2"/>
      <c r="X158" s="2"/>
      <c r="Y158" s="46"/>
      <c r="Z158" s="47"/>
      <c r="AA158" s="47"/>
      <c r="AB158" s="47"/>
      <c r="AC158" s="47"/>
      <c r="AD158" s="47"/>
      <c r="AE158" s="47"/>
      <c r="AF158" s="48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O158" s="14">
        <v>0</v>
      </c>
      <c r="BP158" s="14">
        <v>0</v>
      </c>
      <c r="BQ158" s="14">
        <v>1</v>
      </c>
      <c r="BR158" s="14">
        <v>0</v>
      </c>
      <c r="BS158" s="14">
        <v>0</v>
      </c>
      <c r="BT158" s="14">
        <v>0</v>
      </c>
      <c r="BU158" s="14">
        <v>0</v>
      </c>
      <c r="BV158" s="14">
        <v>0</v>
      </c>
      <c r="BW158" s="36"/>
      <c r="BX158" s="34"/>
      <c r="BY158" s="34"/>
      <c r="BZ158" s="34"/>
      <c r="CA158" s="34"/>
      <c r="CB158" s="34"/>
      <c r="CC158" s="34"/>
      <c r="CD158" s="37"/>
      <c r="CE158" s="14">
        <v>0</v>
      </c>
      <c r="CF158" s="11">
        <v>0</v>
      </c>
      <c r="CG158" s="11">
        <v>0</v>
      </c>
      <c r="CH158" s="11">
        <v>1</v>
      </c>
      <c r="CI158" s="11">
        <v>0</v>
      </c>
      <c r="CJ158" s="11">
        <v>0</v>
      </c>
      <c r="CK158" s="14">
        <v>0</v>
      </c>
      <c r="CL158" s="14">
        <v>0</v>
      </c>
      <c r="CM158" s="36"/>
      <c r="CN158" s="34"/>
      <c r="CO158" s="34"/>
      <c r="CP158" s="34"/>
      <c r="CQ158" s="34"/>
      <c r="CR158" s="34"/>
      <c r="CS158" s="34"/>
      <c r="CT158" s="37"/>
    </row>
    <row r="159" spans="1:98" x14ac:dyDescent="0.25">
      <c r="A159" s="2"/>
      <c r="B159" s="2"/>
      <c r="C159" s="2"/>
      <c r="D159" s="2"/>
      <c r="E159" s="2"/>
      <c r="F159" s="2"/>
      <c r="G159" s="2"/>
      <c r="H159" s="2"/>
      <c r="I159" s="51"/>
      <c r="J159" s="52"/>
      <c r="K159" s="52"/>
      <c r="L159" s="52"/>
      <c r="M159" s="52"/>
      <c r="N159" s="52"/>
      <c r="O159" s="52"/>
      <c r="P159" s="53"/>
      <c r="Q159" s="2"/>
      <c r="R159" s="2"/>
      <c r="S159" s="2"/>
      <c r="T159" s="2"/>
      <c r="U159" s="2"/>
      <c r="V159" s="2"/>
      <c r="W159" s="2"/>
      <c r="X159" s="2"/>
      <c r="Y159" s="54"/>
      <c r="Z159" s="52"/>
      <c r="AA159" s="52"/>
      <c r="AB159" s="52"/>
      <c r="AC159" s="52"/>
      <c r="AD159" s="52"/>
      <c r="AE159" s="52"/>
      <c r="AF159" s="53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O159" s="14">
        <v>0</v>
      </c>
      <c r="BP159" s="14">
        <v>0</v>
      </c>
      <c r="BQ159" s="14">
        <v>1</v>
      </c>
      <c r="BR159" s="14">
        <v>0</v>
      </c>
      <c r="BS159" s="14">
        <v>0</v>
      </c>
      <c r="BT159" s="14">
        <v>0</v>
      </c>
      <c r="BU159" s="14">
        <v>0</v>
      </c>
      <c r="BV159" s="14">
        <v>0</v>
      </c>
      <c r="BW159" s="40" t="s">
        <v>82</v>
      </c>
      <c r="BX159" s="41"/>
      <c r="BY159" s="41"/>
      <c r="BZ159" s="41"/>
      <c r="CA159" s="41"/>
      <c r="CB159" s="41"/>
      <c r="CC159" s="41"/>
      <c r="CD159" s="43"/>
      <c r="CE159" s="14">
        <v>0</v>
      </c>
      <c r="CF159" s="11">
        <v>0</v>
      </c>
      <c r="CG159" s="11">
        <v>0</v>
      </c>
      <c r="CH159" s="11">
        <v>1</v>
      </c>
      <c r="CI159" s="11">
        <v>0</v>
      </c>
      <c r="CJ159" s="11">
        <v>0</v>
      </c>
      <c r="CK159" s="14">
        <v>0</v>
      </c>
      <c r="CL159" s="14">
        <v>0</v>
      </c>
      <c r="CM159" s="40" t="s">
        <v>84</v>
      </c>
      <c r="CN159" s="41"/>
      <c r="CO159" s="41"/>
      <c r="CP159" s="41"/>
      <c r="CQ159" s="41"/>
      <c r="CR159" s="41"/>
      <c r="CS159" s="41"/>
      <c r="CT159" s="43"/>
    </row>
    <row r="160" spans="1:98" x14ac:dyDescent="0.25">
      <c r="A160" s="2"/>
      <c r="B160" s="2"/>
      <c r="C160" s="2"/>
      <c r="D160" s="2"/>
      <c r="E160" s="2"/>
      <c r="F160" s="2"/>
      <c r="G160" s="2"/>
      <c r="H160" s="2"/>
      <c r="I160" s="33"/>
      <c r="J160" s="34"/>
      <c r="K160" s="34"/>
      <c r="L160" s="34"/>
      <c r="M160" s="34"/>
      <c r="N160" s="34"/>
      <c r="O160" s="34"/>
      <c r="P160" s="35"/>
      <c r="Q160" s="2"/>
      <c r="R160" s="2"/>
      <c r="S160" s="2"/>
      <c r="T160" s="2"/>
      <c r="U160" s="2"/>
      <c r="V160" s="2"/>
      <c r="W160" s="2"/>
      <c r="X160" s="2"/>
      <c r="Y160" s="33"/>
      <c r="Z160" s="34"/>
      <c r="AA160" s="34"/>
      <c r="AB160" s="34"/>
      <c r="AC160" s="34"/>
      <c r="AD160" s="34"/>
      <c r="AE160" s="34"/>
      <c r="AF160" s="35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O160" s="14">
        <v>0</v>
      </c>
      <c r="BP160" s="14">
        <v>0</v>
      </c>
      <c r="BQ160" s="14">
        <v>1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33" t="str">
        <f>"{{"&amp;BW157&amp;"}"&amp;", "&amp;$I$1&amp;"},  //"&amp;BW159&amp;":"&amp;CA155&amp;":"&amp;CC155</f>
        <v>{{0x0, 0x0, 0x7F, 0x41, 0x0, 0x0, 0x0, 0x0}, 8},  //[:0:91</v>
      </c>
      <c r="BX160" s="34"/>
      <c r="BY160" s="34"/>
      <c r="BZ160" s="34"/>
      <c r="CA160" s="34"/>
      <c r="CB160" s="34"/>
      <c r="CC160" s="34"/>
      <c r="CD160" s="35"/>
      <c r="CE160" s="14">
        <v>0</v>
      </c>
      <c r="CF160" s="11">
        <v>0</v>
      </c>
      <c r="CG160" s="11">
        <v>0</v>
      </c>
      <c r="CH160" s="11">
        <v>1</v>
      </c>
      <c r="CI160" s="11">
        <v>0</v>
      </c>
      <c r="CJ160" s="11">
        <v>0</v>
      </c>
      <c r="CK160" s="14">
        <v>0</v>
      </c>
      <c r="CL160" s="14">
        <v>0</v>
      </c>
      <c r="CM160" s="33" t="str">
        <f>"{{"&amp;CM157&amp;"}"&amp;", "&amp;$I$1&amp;"},  //"&amp;CM159&amp;":"&amp;CQ155&amp;":"&amp;CS155</f>
        <v>{{0x0, 0x0, 0x3, 0x1C, 0x60, 0x0, 0x0, 0x0}, 8},  //\:0:92</v>
      </c>
      <c r="CN160" s="34"/>
      <c r="CO160" s="34"/>
      <c r="CP160" s="34"/>
      <c r="CQ160" s="34"/>
      <c r="CR160" s="34"/>
      <c r="CS160" s="34"/>
      <c r="CT160" s="35"/>
    </row>
    <row r="161" spans="1:98" x14ac:dyDescent="0.25">
      <c r="A161" s="2"/>
      <c r="B161" s="2"/>
      <c r="C161" s="2"/>
      <c r="D161" s="2"/>
      <c r="E161" s="2"/>
      <c r="F161" s="2"/>
      <c r="G161" s="2"/>
      <c r="H161" s="2"/>
      <c r="I161" s="33"/>
      <c r="J161" s="34"/>
      <c r="K161" s="34"/>
      <c r="L161" s="34"/>
      <c r="M161" s="34"/>
      <c r="N161" s="34"/>
      <c r="O161" s="34"/>
      <c r="P161" s="35"/>
      <c r="Q161" s="2"/>
      <c r="R161" s="2"/>
      <c r="S161" s="2"/>
      <c r="T161" s="2"/>
      <c r="U161" s="2"/>
      <c r="V161" s="2"/>
      <c r="W161" s="2"/>
      <c r="X161" s="2"/>
      <c r="Y161" s="33"/>
      <c r="Z161" s="34"/>
      <c r="AA161" s="34"/>
      <c r="AB161" s="34"/>
      <c r="AC161" s="34"/>
      <c r="AD161" s="34"/>
      <c r="AE161" s="34"/>
      <c r="AF161" s="35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O161" s="14">
        <v>0</v>
      </c>
      <c r="BP161" s="14">
        <v>0</v>
      </c>
      <c r="BQ161" s="14">
        <v>1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33"/>
      <c r="BX161" s="34"/>
      <c r="BY161" s="34"/>
      <c r="BZ161" s="34"/>
      <c r="CA161" s="34"/>
      <c r="CB161" s="34"/>
      <c r="CC161" s="34"/>
      <c r="CD161" s="35"/>
      <c r="CE161" s="14">
        <v>0</v>
      </c>
      <c r="CF161" s="11">
        <v>0</v>
      </c>
      <c r="CG161" s="11">
        <v>0</v>
      </c>
      <c r="CH161" s="11">
        <v>0</v>
      </c>
      <c r="CI161" s="11">
        <v>1</v>
      </c>
      <c r="CJ161" s="11">
        <v>0</v>
      </c>
      <c r="CK161" s="14">
        <v>0</v>
      </c>
      <c r="CL161" s="14">
        <v>0</v>
      </c>
      <c r="CM161" s="33"/>
      <c r="CN161" s="34"/>
      <c r="CO161" s="34"/>
      <c r="CP161" s="34"/>
      <c r="CQ161" s="34"/>
      <c r="CR161" s="34"/>
      <c r="CS161" s="34"/>
      <c r="CT161" s="35"/>
    </row>
    <row r="162" spans="1:98" x14ac:dyDescent="0.25">
      <c r="A162" s="2"/>
      <c r="B162" s="2"/>
      <c r="C162" s="2"/>
      <c r="D162" s="2"/>
      <c r="E162" s="2"/>
      <c r="F162" s="2"/>
      <c r="G162" s="2"/>
      <c r="H162" s="2"/>
      <c r="Q162" s="2"/>
      <c r="R162" s="2"/>
      <c r="S162" s="2"/>
      <c r="T162" s="2"/>
      <c r="U162" s="2"/>
      <c r="V162" s="2"/>
      <c r="W162" s="2"/>
      <c r="X162" s="2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O162" s="14">
        <v>0</v>
      </c>
      <c r="BP162" s="14">
        <v>0</v>
      </c>
      <c r="BQ162" s="14">
        <v>1</v>
      </c>
      <c r="BR162" s="14">
        <v>1</v>
      </c>
      <c r="BS162" s="14">
        <v>0</v>
      </c>
      <c r="BT162" s="14">
        <v>0</v>
      </c>
      <c r="BU162" s="14">
        <v>0</v>
      </c>
      <c r="BV162" s="14">
        <v>0</v>
      </c>
      <c r="BW162" s="40" t="s">
        <v>48</v>
      </c>
      <c r="BX162" s="41"/>
      <c r="BY162" s="41"/>
      <c r="BZ162" s="41"/>
      <c r="CA162" s="44"/>
      <c r="CB162" s="44"/>
      <c r="CC162" s="44"/>
      <c r="CD162" s="45"/>
      <c r="CE162" s="14">
        <v>0</v>
      </c>
      <c r="CF162" s="14">
        <v>0</v>
      </c>
      <c r="CG162" s="14">
        <v>0</v>
      </c>
      <c r="CH162" s="14">
        <v>0</v>
      </c>
      <c r="CI162" s="14">
        <v>1</v>
      </c>
      <c r="CJ162" s="14">
        <v>0</v>
      </c>
      <c r="CK162" s="14">
        <v>0</v>
      </c>
      <c r="CL162" s="14">
        <v>0</v>
      </c>
      <c r="CM162" s="40" t="s">
        <v>48</v>
      </c>
      <c r="CN162" s="41"/>
      <c r="CO162" s="41"/>
      <c r="CP162" s="41"/>
      <c r="CQ162" s="44"/>
      <c r="CR162" s="44"/>
      <c r="CS162" s="44"/>
      <c r="CT162" s="45"/>
    </row>
    <row r="163" spans="1:98" x14ac:dyDescent="0.25">
      <c r="A163" s="2"/>
      <c r="B163" s="2"/>
      <c r="C163" s="2"/>
      <c r="D163" s="2"/>
      <c r="E163" s="2"/>
      <c r="F163" s="2"/>
      <c r="G163" s="2"/>
      <c r="H163" s="2"/>
      <c r="Q163" s="2"/>
      <c r="R163" s="2"/>
      <c r="S163" s="2"/>
      <c r="T163" s="2"/>
      <c r="U163" s="2"/>
      <c r="V163" s="2"/>
      <c r="W163" s="2"/>
      <c r="X163" s="2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2"/>
      <c r="BX163" s="12"/>
      <c r="BY163" s="12"/>
      <c r="BZ163" s="12"/>
      <c r="CA163" s="12"/>
      <c r="CB163" s="12"/>
      <c r="CC163" s="12"/>
      <c r="CD163" s="12"/>
      <c r="CE163" s="15">
        <v>0</v>
      </c>
      <c r="CF163" s="15">
        <v>0</v>
      </c>
      <c r="CG163" s="15">
        <v>0</v>
      </c>
      <c r="CH163" s="15">
        <v>0</v>
      </c>
      <c r="CI163" s="15">
        <v>0</v>
      </c>
      <c r="CJ163" s="15">
        <v>0</v>
      </c>
      <c r="CK163" s="15">
        <v>0</v>
      </c>
      <c r="CL163" s="15">
        <v>0</v>
      </c>
      <c r="CM163" s="12"/>
      <c r="CN163" s="12"/>
      <c r="CO163" s="12"/>
      <c r="CP163" s="12"/>
      <c r="CQ163" s="12"/>
      <c r="CR163" s="12"/>
      <c r="CS163" s="12"/>
      <c r="CT163" s="12"/>
    </row>
    <row r="164" spans="1:98" x14ac:dyDescent="0.25">
      <c r="A164" s="7"/>
      <c r="B164" s="7"/>
      <c r="C164" s="7"/>
      <c r="D164" s="7"/>
      <c r="E164" s="7"/>
      <c r="F164" s="7"/>
      <c r="G164" s="7"/>
      <c r="H164" s="7"/>
      <c r="I164" s="50"/>
      <c r="J164" s="50"/>
      <c r="K164" s="50"/>
      <c r="L164" s="50"/>
      <c r="M164" s="49"/>
      <c r="N164" s="49"/>
      <c r="O164" s="49"/>
      <c r="P164" s="49"/>
      <c r="Q164" s="7"/>
      <c r="R164" s="7"/>
      <c r="S164" s="7"/>
      <c r="T164" s="7"/>
      <c r="U164" s="7"/>
      <c r="V164" s="7"/>
      <c r="W164" s="7"/>
      <c r="X164" s="7"/>
      <c r="Y164" s="50"/>
      <c r="Z164" s="50"/>
      <c r="AA164" s="50"/>
      <c r="AB164" s="50"/>
      <c r="AC164" s="49"/>
      <c r="AD164" s="49"/>
      <c r="AE164" s="49"/>
      <c r="AF164" s="49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O164" s="29">
        <v>1</v>
      </c>
      <c r="BP164" s="29">
        <v>2</v>
      </c>
      <c r="BQ164" s="29">
        <v>3</v>
      </c>
      <c r="BR164" s="29">
        <v>4</v>
      </c>
      <c r="BS164" s="29">
        <v>5</v>
      </c>
      <c r="BT164" s="29">
        <v>6</v>
      </c>
      <c r="BU164" s="29">
        <v>7</v>
      </c>
      <c r="BV164" s="29">
        <v>8</v>
      </c>
      <c r="BW164" s="38" t="s">
        <v>0</v>
      </c>
      <c r="BX164" s="38"/>
      <c r="BY164" s="38"/>
      <c r="BZ164" s="38"/>
      <c r="CA164" s="39">
        <v>0</v>
      </c>
      <c r="CB164" s="39"/>
      <c r="CC164" s="39">
        <v>93</v>
      </c>
      <c r="CD164" s="39"/>
      <c r="CE164" s="29">
        <v>1</v>
      </c>
      <c r="CF164" s="29">
        <v>2</v>
      </c>
      <c r="CG164" s="29">
        <v>3</v>
      </c>
      <c r="CH164" s="29">
        <v>4</v>
      </c>
      <c r="CI164" s="29">
        <v>5</v>
      </c>
      <c r="CJ164" s="29">
        <v>6</v>
      </c>
      <c r="CK164" s="29">
        <v>7</v>
      </c>
      <c r="CL164" s="29">
        <v>8</v>
      </c>
      <c r="CM164" s="38" t="s">
        <v>0</v>
      </c>
      <c r="CN164" s="38"/>
      <c r="CO164" s="38"/>
      <c r="CP164" s="38"/>
      <c r="CQ164" s="39">
        <v>0</v>
      </c>
      <c r="CR164" s="39"/>
      <c r="CS164" s="39">
        <v>94</v>
      </c>
      <c r="CT164" s="39"/>
    </row>
    <row r="165" spans="1:98" x14ac:dyDescent="0.25">
      <c r="A165" s="2"/>
      <c r="B165" s="2"/>
      <c r="C165" s="2"/>
      <c r="D165" s="2"/>
      <c r="E165" s="2"/>
      <c r="F165" s="2"/>
      <c r="G165" s="2"/>
      <c r="H165" s="2"/>
      <c r="Q165" s="2"/>
      <c r="R165" s="2"/>
      <c r="S165" s="2"/>
      <c r="T165" s="2"/>
      <c r="U165" s="2"/>
      <c r="V165" s="2"/>
      <c r="W165" s="2"/>
      <c r="X165" s="2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O165" s="11">
        <v>0</v>
      </c>
      <c r="BP165" s="11">
        <v>0</v>
      </c>
      <c r="BQ165" s="11">
        <v>0</v>
      </c>
      <c r="BR165" s="11">
        <v>1</v>
      </c>
      <c r="BS165" s="11">
        <v>1</v>
      </c>
      <c r="BT165" s="11">
        <v>0</v>
      </c>
      <c r="BU165" s="11">
        <v>0</v>
      </c>
      <c r="BV165" s="11">
        <v>0</v>
      </c>
      <c r="BW165" s="12" t="str">
        <f>BIN2HEX(BO172&amp;BO171&amp;BO170&amp;BO169&amp;BO168&amp;BO167&amp;BO166&amp;BO165)</f>
        <v>0</v>
      </c>
      <c r="BX165" s="12" t="str">
        <f t="shared" ref="BX165" si="442">BIN2HEX(BP172&amp;BP171&amp;BP170&amp;BP169&amp;BP168&amp;BP167&amp;BP166&amp;BP165)</f>
        <v>0</v>
      </c>
      <c r="BY165" s="12" t="str">
        <f t="shared" ref="BY165" si="443">BIN2HEX(BQ172&amp;BQ171&amp;BQ170&amp;BQ169&amp;BQ168&amp;BQ167&amp;BQ166&amp;BQ165)</f>
        <v>0</v>
      </c>
      <c r="BZ165" s="12" t="str">
        <f t="shared" ref="BZ165" si="444">BIN2HEX(BR172&amp;BR171&amp;BR170&amp;BR169&amp;BR168&amp;BR167&amp;BR166&amp;BR165)</f>
        <v>41</v>
      </c>
      <c r="CA165" s="12" t="str">
        <f t="shared" ref="CA165" si="445">BIN2HEX(BS172&amp;BS171&amp;BS170&amp;BS169&amp;BS168&amp;BS167&amp;BS166&amp;BS165)</f>
        <v>7F</v>
      </c>
      <c r="CB165" s="12" t="str">
        <f t="shared" ref="CB165" si="446">BIN2HEX(BT172&amp;BT171&amp;BT170&amp;BT169&amp;BT168&amp;BT167&amp;BT166&amp;BT165)</f>
        <v>0</v>
      </c>
      <c r="CC165" s="12" t="str">
        <f t="shared" ref="CC165" si="447">BIN2HEX(BU172&amp;BU171&amp;BU170&amp;BU169&amp;BU168&amp;BU167&amp;BU166&amp;BU165)</f>
        <v>0</v>
      </c>
      <c r="CD165" s="12" t="str">
        <f>BIN2HEX(BV172&amp;BV171&amp;BV170&amp;BV169&amp;BV168&amp;BV167&amp;BV166&amp;BV165)</f>
        <v>0</v>
      </c>
      <c r="CE165" s="11">
        <v>0</v>
      </c>
      <c r="CF165" s="11">
        <v>0</v>
      </c>
      <c r="CG165" s="11">
        <v>0</v>
      </c>
      <c r="CH165" s="11">
        <v>1</v>
      </c>
      <c r="CI165" s="11">
        <v>0</v>
      </c>
      <c r="CJ165" s="11">
        <v>0</v>
      </c>
      <c r="CK165" s="11">
        <v>0</v>
      </c>
      <c r="CL165" s="11">
        <v>0</v>
      </c>
      <c r="CM165" s="12" t="str">
        <f>BIN2HEX(CE172&amp;CE171&amp;CE170&amp;CE169&amp;CE168&amp;CE167&amp;CE166&amp;CE165)</f>
        <v>0</v>
      </c>
      <c r="CN165" s="12" t="str">
        <f t="shared" ref="CN165" si="448">BIN2HEX(CF172&amp;CF171&amp;CF170&amp;CF169&amp;CF168&amp;CF167&amp;CF166&amp;CF165)</f>
        <v>4</v>
      </c>
      <c r="CO165" s="12" t="str">
        <f t="shared" ref="CO165" si="449">BIN2HEX(CG172&amp;CG171&amp;CG170&amp;CG169&amp;CG168&amp;CG167&amp;CG166&amp;CG165)</f>
        <v>2</v>
      </c>
      <c r="CP165" s="12" t="str">
        <f t="shared" ref="CP165" si="450">BIN2HEX(CH172&amp;CH171&amp;CH170&amp;CH169&amp;CH168&amp;CH167&amp;CH166&amp;CH165)</f>
        <v>1</v>
      </c>
      <c r="CQ165" s="12" t="str">
        <f t="shared" ref="CQ165" si="451">BIN2HEX(CI172&amp;CI171&amp;CI170&amp;CI169&amp;CI168&amp;CI167&amp;CI166&amp;CI165)</f>
        <v>2</v>
      </c>
      <c r="CR165" s="12" t="str">
        <f t="shared" ref="CR165" si="452">BIN2HEX(CJ172&amp;CJ171&amp;CJ170&amp;CJ169&amp;CJ168&amp;CJ167&amp;CJ166&amp;CJ165)</f>
        <v>4</v>
      </c>
      <c r="CS165" s="12" t="str">
        <f t="shared" ref="CS165" si="453">BIN2HEX(CK172&amp;CK171&amp;CK170&amp;CK169&amp;CK168&amp;CK167&amp;CK166&amp;CK165)</f>
        <v>0</v>
      </c>
      <c r="CT165" s="12" t="str">
        <f>BIN2HEX(CL172&amp;CL171&amp;CL170&amp;CL169&amp;CL168&amp;CL167&amp;CL166&amp;CL165)</f>
        <v>0</v>
      </c>
    </row>
    <row r="166" spans="1:98" x14ac:dyDescent="0.25">
      <c r="B166" s="2"/>
      <c r="I166" s="46"/>
      <c r="J166" s="47"/>
      <c r="K166" s="47"/>
      <c r="L166" s="47"/>
      <c r="M166" s="47"/>
      <c r="N166" s="47"/>
      <c r="O166" s="47"/>
      <c r="P166" s="47"/>
      <c r="Q166" s="2"/>
      <c r="R166" s="2"/>
      <c r="S166" s="2"/>
      <c r="T166" s="2"/>
      <c r="U166" s="2"/>
      <c r="V166" s="2"/>
      <c r="W166" s="2"/>
      <c r="X166" s="2"/>
      <c r="Y166" s="46"/>
      <c r="Z166" s="47"/>
      <c r="AA166" s="47"/>
      <c r="AB166" s="47"/>
      <c r="AC166" s="47"/>
      <c r="AD166" s="47"/>
      <c r="AE166" s="47"/>
      <c r="AF166" s="48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O166" s="14">
        <v>0</v>
      </c>
      <c r="BP166" s="11">
        <v>0</v>
      </c>
      <c r="BQ166" s="11">
        <v>0</v>
      </c>
      <c r="BR166" s="11">
        <v>0</v>
      </c>
      <c r="BS166" s="11">
        <v>1</v>
      </c>
      <c r="BT166" s="14">
        <v>0</v>
      </c>
      <c r="BU166" s="14">
        <v>0</v>
      </c>
      <c r="BV166" s="14">
        <v>0</v>
      </c>
      <c r="BW166" s="36" t="str">
        <f>"0x"&amp;BW165&amp;", 0x"&amp;BX165&amp;", 0x"&amp;BY165&amp;", 0x"&amp;BZ165&amp;", 0x"&amp;CA165&amp;", 0x"&amp;CB165&amp;", 0x"&amp;CC165&amp;", 0x"&amp;CD165</f>
        <v>0x0, 0x0, 0x0, 0x41, 0x7F, 0x0, 0x0, 0x0</v>
      </c>
      <c r="BX166" s="34"/>
      <c r="BY166" s="34"/>
      <c r="BZ166" s="34"/>
      <c r="CA166" s="34"/>
      <c r="CB166" s="34"/>
      <c r="CC166" s="34"/>
      <c r="CD166" s="34"/>
      <c r="CE166" s="14">
        <v>0</v>
      </c>
      <c r="CF166" s="14">
        <v>0</v>
      </c>
      <c r="CG166" s="14">
        <v>1</v>
      </c>
      <c r="CH166" s="14">
        <v>0</v>
      </c>
      <c r="CI166" s="14">
        <v>1</v>
      </c>
      <c r="CJ166" s="14">
        <v>0</v>
      </c>
      <c r="CK166" s="14">
        <v>0</v>
      </c>
      <c r="CL166" s="14">
        <v>0</v>
      </c>
      <c r="CM166" s="36" t="str">
        <f>"0x"&amp;CM165&amp;", 0x"&amp;CN165&amp;", 0x"&amp;CO165&amp;", 0x"&amp;CP165&amp;", 0x"&amp;CQ165&amp;", 0x"&amp;CR165&amp;", 0x"&amp;CS165&amp;", 0x"&amp;CT165</f>
        <v>0x0, 0x4, 0x2, 0x1, 0x2, 0x4, 0x0, 0x0</v>
      </c>
      <c r="CN166" s="34"/>
      <c r="CO166" s="34"/>
      <c r="CP166" s="34"/>
      <c r="CQ166" s="34"/>
      <c r="CR166" s="34"/>
      <c r="CS166" s="34"/>
      <c r="CT166" s="37"/>
    </row>
    <row r="167" spans="1:98" x14ac:dyDescent="0.25">
      <c r="B167" s="2"/>
      <c r="I167" s="46"/>
      <c r="J167" s="47"/>
      <c r="K167" s="47"/>
      <c r="L167" s="47"/>
      <c r="M167" s="47"/>
      <c r="N167" s="47"/>
      <c r="O167" s="47"/>
      <c r="P167" s="47"/>
      <c r="Q167" s="2"/>
      <c r="R167" s="2"/>
      <c r="S167" s="2"/>
      <c r="T167" s="2"/>
      <c r="U167" s="2"/>
      <c r="V167" s="2"/>
      <c r="W167" s="2"/>
      <c r="X167" s="2"/>
      <c r="Y167" s="46"/>
      <c r="Z167" s="47"/>
      <c r="AA167" s="47"/>
      <c r="AB167" s="47"/>
      <c r="AC167" s="47"/>
      <c r="AD167" s="47"/>
      <c r="AE167" s="47"/>
      <c r="AF167" s="48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O167" s="14">
        <v>0</v>
      </c>
      <c r="BP167" s="11">
        <v>0</v>
      </c>
      <c r="BQ167" s="11">
        <v>0</v>
      </c>
      <c r="BR167" s="11">
        <v>0</v>
      </c>
      <c r="BS167" s="11">
        <v>1</v>
      </c>
      <c r="BT167" s="14">
        <v>0</v>
      </c>
      <c r="BU167" s="14">
        <v>0</v>
      </c>
      <c r="BV167" s="14">
        <v>0</v>
      </c>
      <c r="BW167" s="36"/>
      <c r="BX167" s="34"/>
      <c r="BY167" s="34"/>
      <c r="BZ167" s="34"/>
      <c r="CA167" s="34"/>
      <c r="CB167" s="34"/>
      <c r="CC167" s="34"/>
      <c r="CD167" s="34"/>
      <c r="CE167" s="14">
        <v>0</v>
      </c>
      <c r="CF167" s="14">
        <v>1</v>
      </c>
      <c r="CG167" s="14">
        <v>0</v>
      </c>
      <c r="CH167" s="14">
        <v>0</v>
      </c>
      <c r="CI167" s="14">
        <v>0</v>
      </c>
      <c r="CJ167" s="14">
        <v>1</v>
      </c>
      <c r="CK167" s="14">
        <v>0</v>
      </c>
      <c r="CL167" s="14">
        <v>0</v>
      </c>
      <c r="CM167" s="36"/>
      <c r="CN167" s="34"/>
      <c r="CO167" s="34"/>
      <c r="CP167" s="34"/>
      <c r="CQ167" s="34"/>
      <c r="CR167" s="34"/>
      <c r="CS167" s="34"/>
      <c r="CT167" s="37"/>
    </row>
    <row r="168" spans="1:98" x14ac:dyDescent="0.25">
      <c r="B168" s="2"/>
      <c r="I168" s="51"/>
      <c r="J168" s="52"/>
      <c r="K168" s="52"/>
      <c r="L168" s="52"/>
      <c r="M168" s="52"/>
      <c r="N168" s="52"/>
      <c r="O168" s="52"/>
      <c r="P168" s="53"/>
      <c r="Q168" s="2"/>
      <c r="R168" s="2"/>
      <c r="S168" s="2"/>
      <c r="T168" s="2"/>
      <c r="U168" s="2"/>
      <c r="V168" s="2"/>
      <c r="W168" s="2"/>
      <c r="X168" s="2"/>
      <c r="Y168" s="54"/>
      <c r="Z168" s="52"/>
      <c r="AA168" s="52"/>
      <c r="AB168" s="52"/>
      <c r="AC168" s="52"/>
      <c r="AD168" s="52"/>
      <c r="AE168" s="52"/>
      <c r="AF168" s="53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O168" s="14">
        <v>0</v>
      </c>
      <c r="BP168" s="11">
        <v>0</v>
      </c>
      <c r="BQ168" s="11">
        <v>0</v>
      </c>
      <c r="BR168" s="11">
        <v>0</v>
      </c>
      <c r="BS168" s="11">
        <v>1</v>
      </c>
      <c r="BT168" s="14">
        <v>0</v>
      </c>
      <c r="BU168" s="14">
        <v>0</v>
      </c>
      <c r="BV168" s="14">
        <v>0</v>
      </c>
      <c r="BW168" s="40" t="s">
        <v>83</v>
      </c>
      <c r="BX168" s="41"/>
      <c r="BY168" s="41"/>
      <c r="BZ168" s="41"/>
      <c r="CA168" s="41"/>
      <c r="CB168" s="41"/>
      <c r="CC168" s="41"/>
      <c r="CD168" s="42"/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40" t="s">
        <v>85</v>
      </c>
      <c r="CN168" s="41"/>
      <c r="CO168" s="41"/>
      <c r="CP168" s="41"/>
      <c r="CQ168" s="41"/>
      <c r="CR168" s="41"/>
      <c r="CS168" s="41"/>
      <c r="CT168" s="43"/>
    </row>
    <row r="169" spans="1:98" x14ac:dyDescent="0.25">
      <c r="B169" s="2"/>
      <c r="I169" s="33"/>
      <c r="J169" s="34"/>
      <c r="K169" s="34"/>
      <c r="L169" s="34"/>
      <c r="M169" s="34"/>
      <c r="N169" s="34"/>
      <c r="O169" s="34"/>
      <c r="P169" s="35"/>
      <c r="Q169" s="2"/>
      <c r="R169" s="2"/>
      <c r="S169" s="2"/>
      <c r="T169" s="2"/>
      <c r="U169" s="2"/>
      <c r="V169" s="2"/>
      <c r="W169" s="2"/>
      <c r="X169" s="2"/>
      <c r="Y169" s="33"/>
      <c r="Z169" s="34"/>
      <c r="AA169" s="34"/>
      <c r="AB169" s="34"/>
      <c r="AC169" s="34"/>
      <c r="AD169" s="34"/>
      <c r="AE169" s="34"/>
      <c r="AF169" s="35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O169" s="14">
        <v>0</v>
      </c>
      <c r="BP169" s="11">
        <v>0</v>
      </c>
      <c r="BQ169" s="11">
        <v>0</v>
      </c>
      <c r="BR169" s="11">
        <v>0</v>
      </c>
      <c r="BS169" s="11">
        <v>1</v>
      </c>
      <c r="BT169" s="14">
        <v>0</v>
      </c>
      <c r="BU169" s="14">
        <v>0</v>
      </c>
      <c r="BV169" s="14">
        <v>0</v>
      </c>
      <c r="BW169" s="33" t="str">
        <f>"{{"&amp;BW166&amp;"}"&amp;", "&amp;$I$1&amp;"},  //"&amp;BW168&amp;":"&amp;CA164&amp;":"&amp;CC164</f>
        <v>{{0x0, 0x0, 0x0, 0x41, 0x7F, 0x0, 0x0, 0x0}, 8},  //]:0:93</v>
      </c>
      <c r="BX169" s="34"/>
      <c r="BY169" s="34"/>
      <c r="BZ169" s="34"/>
      <c r="CA169" s="34"/>
      <c r="CB169" s="34"/>
      <c r="CC169" s="34"/>
      <c r="CD169" s="35"/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0</v>
      </c>
      <c r="CK169" s="14">
        <v>0</v>
      </c>
      <c r="CL169" s="14">
        <v>0</v>
      </c>
      <c r="CM169" s="33" t="str">
        <f>"{{"&amp;CM166&amp;"}"&amp;", "&amp;$I$1&amp;"},  //"&amp;CM168&amp;":"&amp;CQ164&amp;":"&amp;CS164</f>
        <v>{{0x0, 0x4, 0x2, 0x1, 0x2, 0x4, 0x0, 0x0}, 8},  //^:0:94</v>
      </c>
      <c r="CN169" s="34"/>
      <c r="CO169" s="34"/>
      <c r="CP169" s="34"/>
      <c r="CQ169" s="34"/>
      <c r="CR169" s="34"/>
      <c r="CS169" s="34"/>
      <c r="CT169" s="35"/>
    </row>
    <row r="170" spans="1:98" x14ac:dyDescent="0.25">
      <c r="B170" s="2"/>
      <c r="C170" s="2"/>
      <c r="D170" s="2"/>
      <c r="I170" s="33"/>
      <c r="J170" s="34"/>
      <c r="K170" s="34"/>
      <c r="L170" s="34"/>
      <c r="M170" s="34"/>
      <c r="N170" s="34"/>
      <c r="O170" s="34"/>
      <c r="P170" s="35"/>
      <c r="Q170" s="2"/>
      <c r="R170" s="2"/>
      <c r="S170" s="2"/>
      <c r="T170" s="2"/>
      <c r="U170" s="2"/>
      <c r="V170" s="2"/>
      <c r="W170" s="2"/>
      <c r="X170" s="2"/>
      <c r="Y170" s="33"/>
      <c r="Z170" s="34"/>
      <c r="AA170" s="34"/>
      <c r="AB170" s="34"/>
      <c r="AC170" s="34"/>
      <c r="AD170" s="34"/>
      <c r="AE170" s="34"/>
      <c r="AF170" s="35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O170" s="14">
        <v>0</v>
      </c>
      <c r="BP170" s="11">
        <v>0</v>
      </c>
      <c r="BQ170" s="11">
        <v>0</v>
      </c>
      <c r="BR170" s="14">
        <v>0</v>
      </c>
      <c r="BS170" s="14">
        <v>1</v>
      </c>
      <c r="BT170" s="14">
        <v>0</v>
      </c>
      <c r="BU170" s="14">
        <v>0</v>
      </c>
      <c r="BV170" s="14">
        <v>0</v>
      </c>
      <c r="BW170" s="33"/>
      <c r="BX170" s="34"/>
      <c r="BY170" s="34"/>
      <c r="BZ170" s="34"/>
      <c r="CA170" s="34"/>
      <c r="CB170" s="34"/>
      <c r="CC170" s="34"/>
      <c r="CD170" s="35"/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0</v>
      </c>
      <c r="CK170" s="14">
        <v>0</v>
      </c>
      <c r="CL170" s="14">
        <v>0</v>
      </c>
      <c r="CM170" s="33"/>
      <c r="CN170" s="34"/>
      <c r="CO170" s="34"/>
      <c r="CP170" s="34"/>
      <c r="CQ170" s="34"/>
      <c r="CR170" s="34"/>
      <c r="CS170" s="34"/>
      <c r="CT170" s="35"/>
    </row>
    <row r="171" spans="1:98" x14ac:dyDescent="0.25">
      <c r="B171" s="2"/>
      <c r="C171" s="2"/>
      <c r="D171" s="2"/>
      <c r="Q171" s="2"/>
      <c r="R171" s="2"/>
      <c r="S171" s="2"/>
      <c r="T171" s="2"/>
      <c r="U171" s="2"/>
      <c r="V171" s="2"/>
      <c r="W171" s="2"/>
      <c r="X171" s="2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O171" s="14">
        <v>0</v>
      </c>
      <c r="BP171" s="14">
        <v>0</v>
      </c>
      <c r="BQ171" s="14">
        <v>0</v>
      </c>
      <c r="BR171" s="14">
        <v>1</v>
      </c>
      <c r="BS171" s="14">
        <v>1</v>
      </c>
      <c r="BT171" s="14">
        <v>0</v>
      </c>
      <c r="BU171" s="14">
        <v>0</v>
      </c>
      <c r="BV171" s="14">
        <v>0</v>
      </c>
      <c r="BW171" s="40" t="s">
        <v>48</v>
      </c>
      <c r="BX171" s="41"/>
      <c r="BY171" s="41"/>
      <c r="BZ171" s="41"/>
      <c r="CA171" s="44"/>
      <c r="CB171" s="44"/>
      <c r="CC171" s="44"/>
      <c r="CD171" s="45"/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M171" s="40" t="s">
        <v>48</v>
      </c>
      <c r="CN171" s="41"/>
      <c r="CO171" s="41"/>
      <c r="CP171" s="41"/>
      <c r="CQ171" s="44"/>
      <c r="CR171" s="44"/>
      <c r="CS171" s="44"/>
      <c r="CT171" s="45"/>
    </row>
    <row r="172" spans="1:98" x14ac:dyDescent="0.25">
      <c r="Q172" s="2"/>
      <c r="R172" s="2"/>
      <c r="S172" s="2"/>
      <c r="T172" s="2"/>
      <c r="U172" s="2"/>
      <c r="V172" s="2"/>
      <c r="W172" s="2"/>
      <c r="X172" s="2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2"/>
      <c r="BX172" s="12"/>
      <c r="BY172" s="12"/>
      <c r="BZ172" s="12"/>
      <c r="CA172" s="12"/>
      <c r="CB172" s="12"/>
      <c r="CC172" s="12"/>
      <c r="CD172" s="12"/>
      <c r="CE172" s="15">
        <v>0</v>
      </c>
      <c r="CF172" s="15">
        <v>0</v>
      </c>
      <c r="CG172" s="15">
        <v>0</v>
      </c>
      <c r="CH172" s="15">
        <v>0</v>
      </c>
      <c r="CI172" s="15">
        <v>0</v>
      </c>
      <c r="CJ172" s="15">
        <v>0</v>
      </c>
      <c r="CK172" s="15">
        <v>0</v>
      </c>
      <c r="CL172" s="15">
        <v>0</v>
      </c>
      <c r="CM172" s="12"/>
      <c r="CN172" s="12"/>
      <c r="CO172" s="12"/>
      <c r="CP172" s="12"/>
      <c r="CQ172" s="12"/>
      <c r="CR172" s="12"/>
      <c r="CS172" s="12"/>
      <c r="CT172" s="12"/>
    </row>
    <row r="173" spans="1:98" x14ac:dyDescent="0.25">
      <c r="A173" s="7"/>
      <c r="B173" s="7"/>
      <c r="C173" s="7"/>
      <c r="D173" s="7"/>
      <c r="E173" s="7"/>
      <c r="F173" s="7"/>
      <c r="G173" s="7"/>
      <c r="H173" s="7"/>
      <c r="I173" s="50"/>
      <c r="J173" s="50"/>
      <c r="K173" s="50"/>
      <c r="L173" s="50"/>
      <c r="M173" s="49"/>
      <c r="N173" s="49"/>
      <c r="O173" s="49"/>
      <c r="P173" s="49"/>
      <c r="Q173" s="7"/>
      <c r="R173" s="7"/>
      <c r="S173" s="7"/>
      <c r="T173" s="7"/>
      <c r="U173" s="7"/>
      <c r="V173" s="7"/>
      <c r="W173" s="7"/>
      <c r="X173" s="7"/>
      <c r="Y173" s="50"/>
      <c r="Z173" s="50"/>
      <c r="AA173" s="50"/>
      <c r="AB173" s="50"/>
      <c r="AC173" s="49"/>
      <c r="AD173" s="49"/>
      <c r="AE173" s="49"/>
      <c r="AF173" s="49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O173" s="29">
        <v>1</v>
      </c>
      <c r="BP173" s="29">
        <v>2</v>
      </c>
      <c r="BQ173" s="29">
        <v>3</v>
      </c>
      <c r="BR173" s="29">
        <v>4</v>
      </c>
      <c r="BS173" s="29">
        <v>5</v>
      </c>
      <c r="BT173" s="29">
        <v>6</v>
      </c>
      <c r="BU173" s="29">
        <v>7</v>
      </c>
      <c r="BV173" s="29">
        <v>8</v>
      </c>
      <c r="BW173" s="38" t="s">
        <v>0</v>
      </c>
      <c r="BX173" s="38"/>
      <c r="BY173" s="38"/>
      <c r="BZ173" s="38"/>
      <c r="CA173" s="39">
        <v>0</v>
      </c>
      <c r="CB173" s="39"/>
      <c r="CC173" s="39">
        <v>95</v>
      </c>
      <c r="CD173" s="39"/>
      <c r="CE173" s="29">
        <v>1</v>
      </c>
      <c r="CF173" s="29">
        <v>2</v>
      </c>
      <c r="CG173" s="29">
        <v>3</v>
      </c>
      <c r="CH173" s="29">
        <v>4</v>
      </c>
      <c r="CI173" s="29">
        <v>5</v>
      </c>
      <c r="CJ173" s="29">
        <v>6</v>
      </c>
      <c r="CK173" s="29">
        <v>7</v>
      </c>
      <c r="CL173" s="29">
        <v>8</v>
      </c>
      <c r="CM173" s="38" t="s">
        <v>0</v>
      </c>
      <c r="CN173" s="38"/>
      <c r="CO173" s="38"/>
      <c r="CP173" s="38"/>
      <c r="CQ173" s="39">
        <v>0</v>
      </c>
      <c r="CR173" s="39"/>
      <c r="CS173" s="39">
        <v>96</v>
      </c>
      <c r="CT173" s="39"/>
    </row>
    <row r="174" spans="1:98" x14ac:dyDescent="0.25">
      <c r="A174" s="2"/>
      <c r="B174" s="2"/>
      <c r="C174" s="2"/>
      <c r="D174" s="2"/>
      <c r="E174" s="2"/>
      <c r="F174" s="2"/>
      <c r="G174" s="2"/>
      <c r="H174" s="2"/>
      <c r="Q174" s="2"/>
      <c r="R174" s="2"/>
      <c r="S174" s="2"/>
      <c r="T174" s="2"/>
      <c r="U174" s="2"/>
      <c r="V174" s="2"/>
      <c r="W174" s="2"/>
      <c r="X174" s="2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2" t="str">
        <f>BIN2HEX(BO181&amp;BO180&amp;BO179&amp;BO178&amp;BO177&amp;BO176&amp;BO175&amp;BO174)</f>
        <v>0</v>
      </c>
      <c r="BX174" s="12" t="str">
        <f t="shared" ref="BX174" si="454">BIN2HEX(BP181&amp;BP180&amp;BP179&amp;BP178&amp;BP177&amp;BP176&amp;BP175&amp;BP174)</f>
        <v>40</v>
      </c>
      <c r="BY174" s="12" t="str">
        <f t="shared" ref="BY174" si="455">BIN2HEX(BQ181&amp;BQ180&amp;BQ179&amp;BQ178&amp;BQ177&amp;BQ176&amp;BQ175&amp;BQ174)</f>
        <v>40</v>
      </c>
      <c r="BZ174" s="12" t="str">
        <f t="shared" ref="BZ174" si="456">BIN2HEX(BR181&amp;BR180&amp;BR179&amp;BR178&amp;BR177&amp;BR176&amp;BR175&amp;BR174)</f>
        <v>40</v>
      </c>
      <c r="CA174" s="12" t="str">
        <f t="shared" ref="CA174" si="457">BIN2HEX(BS181&amp;BS180&amp;BS179&amp;BS178&amp;BS177&amp;BS176&amp;BS175&amp;BS174)</f>
        <v>40</v>
      </c>
      <c r="CB174" s="12" t="str">
        <f>BIN2HEX(BT181&amp;BT180&amp;BT179&amp;BT178&amp;BT177&amp;BT176&amp;BT175&amp;BT174)</f>
        <v>40</v>
      </c>
      <c r="CC174" s="12" t="str">
        <f>BIN2HEX(BU181&amp;BU180&amp;BU179&amp;BU178&amp;BU177&amp;BU176&amp;BU175&amp;BU174)</f>
        <v>40</v>
      </c>
      <c r="CD174" s="12" t="str">
        <f>BIN2HEX(BV181&amp;BV180&amp;BV179&amp;BV178&amp;BV177&amp;BV176&amp;BV175&amp;BV174)</f>
        <v>0</v>
      </c>
      <c r="CE174" s="11">
        <v>0</v>
      </c>
      <c r="CF174" s="11">
        <v>0</v>
      </c>
      <c r="CG174" s="11">
        <v>1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2" t="str">
        <f>BIN2HEX(CE181&amp;CE180&amp;CE179&amp;CE178&amp;CE177&amp;CE176&amp;CE175&amp;CE174)</f>
        <v>0</v>
      </c>
      <c r="CN174" s="12" t="str">
        <f t="shared" ref="CN174" si="458">BIN2HEX(CF181&amp;CF180&amp;CF179&amp;CF178&amp;CF177&amp;CF176&amp;CF175&amp;CF174)</f>
        <v>0</v>
      </c>
      <c r="CO174" s="12" t="str">
        <f t="shared" ref="CO174" si="459">BIN2HEX(CG181&amp;CG180&amp;CG179&amp;CG178&amp;CG177&amp;CG176&amp;CG175&amp;CG174)</f>
        <v>1</v>
      </c>
      <c r="CP174" s="12" t="str">
        <f t="shared" ref="CP174" si="460">BIN2HEX(CH181&amp;CH180&amp;CH179&amp;CH178&amp;CH177&amp;CH176&amp;CH175&amp;CH174)</f>
        <v>2</v>
      </c>
      <c r="CQ174" s="12" t="str">
        <f t="shared" ref="CQ174" si="461">BIN2HEX(CI181&amp;CI180&amp;CI179&amp;CI178&amp;CI177&amp;CI176&amp;CI175&amp;CI174)</f>
        <v>4</v>
      </c>
      <c r="CR174" s="12" t="str">
        <f t="shared" ref="CR174" si="462">BIN2HEX(CJ181&amp;CJ180&amp;CJ179&amp;CJ178&amp;CJ177&amp;CJ176&amp;CJ175&amp;CJ174)</f>
        <v>0</v>
      </c>
      <c r="CS174" s="12" t="str">
        <f t="shared" ref="CS174" si="463">BIN2HEX(CK181&amp;CK180&amp;CK179&amp;CK178&amp;CK177&amp;CK176&amp;CK175&amp;CK174)</f>
        <v>0</v>
      </c>
      <c r="CT174" s="12" t="str">
        <f>BIN2HEX(CL181&amp;CL180&amp;CL179&amp;CL178&amp;CL177&amp;CL176&amp;CL175&amp;CL174)</f>
        <v>0</v>
      </c>
    </row>
    <row r="175" spans="1:98" x14ac:dyDescent="0.25">
      <c r="A175" s="2"/>
      <c r="B175" s="2"/>
      <c r="C175" s="2"/>
      <c r="D175" s="2"/>
      <c r="E175" s="2"/>
      <c r="F175" s="2"/>
      <c r="G175" s="2"/>
      <c r="H175" s="2"/>
      <c r="I175" s="46"/>
      <c r="J175" s="47"/>
      <c r="K175" s="47"/>
      <c r="L175" s="47"/>
      <c r="M175" s="47"/>
      <c r="N175" s="47"/>
      <c r="O175" s="47"/>
      <c r="P175" s="47"/>
      <c r="R175" s="2"/>
      <c r="Y175" s="46"/>
      <c r="Z175" s="47"/>
      <c r="AA175" s="47"/>
      <c r="AB175" s="47"/>
      <c r="AC175" s="47"/>
      <c r="AD175" s="47"/>
      <c r="AE175" s="47"/>
      <c r="AF175" s="48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4">
        <v>0</v>
      </c>
      <c r="BW175" s="36" t="str">
        <f>"0x"&amp;BW174&amp;", 0x"&amp;BX174&amp;", 0x"&amp;BY174&amp;", 0x"&amp;BZ174&amp;", 0x"&amp;CA174&amp;", 0x"&amp;CB174&amp;", 0x"&amp;CC174&amp;", 0x"&amp;CD174</f>
        <v>0x0, 0x40, 0x40, 0x40, 0x40, 0x40, 0x40, 0x0</v>
      </c>
      <c r="BX175" s="34"/>
      <c r="BY175" s="34"/>
      <c r="BZ175" s="34"/>
      <c r="CA175" s="34"/>
      <c r="CB175" s="34"/>
      <c r="CC175" s="34"/>
      <c r="CD175" s="37"/>
      <c r="CE175" s="14">
        <v>0</v>
      </c>
      <c r="CF175" s="14">
        <v>0</v>
      </c>
      <c r="CG175" s="14">
        <v>0</v>
      </c>
      <c r="CH175" s="14">
        <v>1</v>
      </c>
      <c r="CI175" s="14">
        <v>0</v>
      </c>
      <c r="CJ175" s="14">
        <v>0</v>
      </c>
      <c r="CK175" s="14">
        <v>0</v>
      </c>
      <c r="CL175" s="14">
        <v>0</v>
      </c>
      <c r="CM175" s="36" t="str">
        <f>"0x"&amp;CM174&amp;", 0x"&amp;CN174&amp;", 0x"&amp;CO174&amp;", 0x"&amp;CP174&amp;", 0x"&amp;CQ174&amp;", 0x"&amp;CR174&amp;", 0x"&amp;CS174&amp;", 0x"&amp;CT174</f>
        <v>0x0, 0x0, 0x1, 0x2, 0x4, 0x0, 0x0, 0x0</v>
      </c>
      <c r="CN175" s="34"/>
      <c r="CO175" s="34"/>
      <c r="CP175" s="34"/>
      <c r="CQ175" s="34"/>
      <c r="CR175" s="34"/>
      <c r="CS175" s="34"/>
      <c r="CT175" s="37"/>
    </row>
    <row r="176" spans="1:98" x14ac:dyDescent="0.25">
      <c r="A176" s="2"/>
      <c r="B176" s="2"/>
      <c r="C176" s="2"/>
      <c r="D176" s="2"/>
      <c r="E176" s="2"/>
      <c r="F176" s="2"/>
      <c r="G176" s="2"/>
      <c r="H176" s="2"/>
      <c r="I176" s="46"/>
      <c r="J176" s="47"/>
      <c r="K176" s="47"/>
      <c r="L176" s="47"/>
      <c r="M176" s="47"/>
      <c r="N176" s="47"/>
      <c r="O176" s="47"/>
      <c r="P176" s="47"/>
      <c r="R176" s="2"/>
      <c r="Y176" s="46"/>
      <c r="Z176" s="47"/>
      <c r="AA176" s="47"/>
      <c r="AB176" s="47"/>
      <c r="AC176" s="47"/>
      <c r="AD176" s="47"/>
      <c r="AE176" s="47"/>
      <c r="AF176" s="48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4">
        <v>0</v>
      </c>
      <c r="BW176" s="36"/>
      <c r="BX176" s="34"/>
      <c r="BY176" s="34"/>
      <c r="BZ176" s="34"/>
      <c r="CA176" s="34"/>
      <c r="CB176" s="34"/>
      <c r="CC176" s="34"/>
      <c r="CD176" s="37"/>
      <c r="CE176" s="14">
        <v>0</v>
      </c>
      <c r="CF176" s="14">
        <v>0</v>
      </c>
      <c r="CG176" s="14">
        <v>0</v>
      </c>
      <c r="CH176" s="14">
        <v>0</v>
      </c>
      <c r="CI176" s="14">
        <v>1</v>
      </c>
      <c r="CJ176" s="14">
        <v>0</v>
      </c>
      <c r="CK176" s="14">
        <v>0</v>
      </c>
      <c r="CL176" s="14">
        <v>0</v>
      </c>
      <c r="CM176" s="36"/>
      <c r="CN176" s="34"/>
      <c r="CO176" s="34"/>
      <c r="CP176" s="34"/>
      <c r="CQ176" s="34"/>
      <c r="CR176" s="34"/>
      <c r="CS176" s="34"/>
      <c r="CT176" s="37"/>
    </row>
    <row r="177" spans="1:98" x14ac:dyDescent="0.25">
      <c r="A177" s="2"/>
      <c r="B177" s="2"/>
      <c r="C177" s="2"/>
      <c r="D177" s="2"/>
      <c r="E177" s="2"/>
      <c r="F177" s="2"/>
      <c r="G177" s="2"/>
      <c r="H177" s="2"/>
      <c r="I177" s="51"/>
      <c r="J177" s="52"/>
      <c r="K177" s="52"/>
      <c r="L177" s="52"/>
      <c r="M177" s="52"/>
      <c r="N177" s="52"/>
      <c r="O177" s="52"/>
      <c r="P177" s="53"/>
      <c r="R177" s="2"/>
      <c r="Y177" s="54"/>
      <c r="Z177" s="52"/>
      <c r="AA177" s="52"/>
      <c r="AB177" s="52"/>
      <c r="AC177" s="52"/>
      <c r="AD177" s="52"/>
      <c r="AE177" s="52"/>
      <c r="AF177" s="53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4">
        <v>0</v>
      </c>
      <c r="BW177" s="40" t="s">
        <v>86</v>
      </c>
      <c r="BX177" s="41"/>
      <c r="BY177" s="41"/>
      <c r="BZ177" s="41"/>
      <c r="CA177" s="41"/>
      <c r="CB177" s="41"/>
      <c r="CC177" s="41"/>
      <c r="CD177" s="43"/>
      <c r="CE177" s="14">
        <v>0</v>
      </c>
      <c r="CF177" s="14">
        <v>0</v>
      </c>
      <c r="CG177" s="14">
        <v>0</v>
      </c>
      <c r="CH177" s="14">
        <v>0</v>
      </c>
      <c r="CI177" s="14">
        <v>0</v>
      </c>
      <c r="CJ177" s="14">
        <v>0</v>
      </c>
      <c r="CK177" s="14">
        <v>0</v>
      </c>
      <c r="CL177" s="14">
        <v>0</v>
      </c>
      <c r="CM177" s="40" t="s">
        <v>39</v>
      </c>
      <c r="CN177" s="41"/>
      <c r="CO177" s="41"/>
      <c r="CP177" s="41"/>
      <c r="CQ177" s="41"/>
      <c r="CR177" s="41"/>
      <c r="CS177" s="41"/>
      <c r="CT177" s="43"/>
    </row>
    <row r="178" spans="1:98" x14ac:dyDescent="0.25">
      <c r="A178" s="2"/>
      <c r="B178" s="2"/>
      <c r="C178" s="2"/>
      <c r="D178" s="2"/>
      <c r="E178" s="2"/>
      <c r="F178" s="2"/>
      <c r="G178" s="2"/>
      <c r="H178" s="2"/>
      <c r="I178" s="33"/>
      <c r="J178" s="34"/>
      <c r="K178" s="34"/>
      <c r="L178" s="34"/>
      <c r="M178" s="34"/>
      <c r="N178" s="34"/>
      <c r="O178" s="34"/>
      <c r="P178" s="35"/>
      <c r="R178" s="2"/>
      <c r="Y178" s="33"/>
      <c r="Z178" s="34"/>
      <c r="AA178" s="34"/>
      <c r="AB178" s="34"/>
      <c r="AC178" s="34"/>
      <c r="AD178" s="34"/>
      <c r="AE178" s="34"/>
      <c r="AF178" s="35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0</v>
      </c>
      <c r="BV178" s="14">
        <v>0</v>
      </c>
      <c r="BW178" s="33" t="str">
        <f>"{{"&amp;BW175&amp;"}"&amp;", "&amp;$I$1&amp;"},  //"&amp;BW177&amp;":"&amp;CA173&amp;":"&amp;CC173</f>
        <v>{{0x0, 0x40, 0x40, 0x40, 0x40, 0x40, 0x40, 0x0}, 8},  //_:0:95</v>
      </c>
      <c r="BX178" s="34"/>
      <c r="BY178" s="34"/>
      <c r="BZ178" s="34"/>
      <c r="CA178" s="34"/>
      <c r="CB178" s="34"/>
      <c r="CC178" s="34"/>
      <c r="CD178" s="35"/>
      <c r="CE178" s="14">
        <v>0</v>
      </c>
      <c r="CF178" s="14">
        <v>0</v>
      </c>
      <c r="CG178" s="14">
        <v>0</v>
      </c>
      <c r="CH178" s="14">
        <v>0</v>
      </c>
      <c r="CI178" s="14">
        <v>0</v>
      </c>
      <c r="CJ178" s="14">
        <v>0</v>
      </c>
      <c r="CK178" s="14">
        <v>0</v>
      </c>
      <c r="CL178" s="14">
        <v>0</v>
      </c>
      <c r="CM178" s="33" t="str">
        <f>"{{"&amp;CM175&amp;"}"&amp;", "&amp;$I$1&amp;"},  //"&amp;CM177&amp;":"&amp;CQ173&amp;":"&amp;CS173</f>
        <v>{{0x0, 0x0, 0x1, 0x2, 0x4, 0x0, 0x0, 0x0}, 8},  //`:0:96</v>
      </c>
      <c r="CN178" s="34"/>
      <c r="CO178" s="34"/>
      <c r="CP178" s="34"/>
      <c r="CQ178" s="34"/>
      <c r="CR178" s="34"/>
      <c r="CS178" s="34"/>
      <c r="CT178" s="35"/>
    </row>
    <row r="179" spans="1:98" x14ac:dyDescent="0.25">
      <c r="A179" s="2"/>
      <c r="B179" s="2"/>
      <c r="C179" s="2"/>
      <c r="D179" s="2"/>
      <c r="E179" s="2"/>
      <c r="F179" s="2"/>
      <c r="G179" s="2"/>
      <c r="H179" s="2"/>
      <c r="I179" s="33"/>
      <c r="J179" s="34"/>
      <c r="K179" s="34"/>
      <c r="L179" s="34"/>
      <c r="M179" s="34"/>
      <c r="N179" s="34"/>
      <c r="O179" s="34"/>
      <c r="P179" s="35"/>
      <c r="R179" s="2"/>
      <c r="Y179" s="33"/>
      <c r="Z179" s="34"/>
      <c r="AA179" s="34"/>
      <c r="AB179" s="34"/>
      <c r="AC179" s="34"/>
      <c r="AD179" s="34"/>
      <c r="AE179" s="34"/>
      <c r="AF179" s="35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O179" s="11">
        <v>0</v>
      </c>
      <c r="BP179" s="11">
        <v>0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4">
        <v>0</v>
      </c>
      <c r="BW179" s="33"/>
      <c r="BX179" s="34"/>
      <c r="BY179" s="34"/>
      <c r="BZ179" s="34"/>
      <c r="CA179" s="34"/>
      <c r="CB179" s="34"/>
      <c r="CC179" s="34"/>
      <c r="CD179" s="35"/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33"/>
      <c r="CN179" s="34"/>
      <c r="CO179" s="34"/>
      <c r="CP179" s="34"/>
      <c r="CQ179" s="34"/>
      <c r="CR179" s="34"/>
      <c r="CS179" s="34"/>
      <c r="CT179" s="35"/>
    </row>
    <row r="180" spans="1:98" x14ac:dyDescent="0.25">
      <c r="A180" s="2"/>
      <c r="B180" s="2"/>
      <c r="C180" s="2"/>
      <c r="D180" s="2"/>
      <c r="E180" s="2"/>
      <c r="F180" s="2"/>
      <c r="G180" s="2"/>
      <c r="H180" s="2"/>
      <c r="R180" s="2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O180" s="14">
        <v>0</v>
      </c>
      <c r="BP180" s="14">
        <v>1</v>
      </c>
      <c r="BQ180" s="14">
        <v>1</v>
      </c>
      <c r="BR180" s="14">
        <v>1</v>
      </c>
      <c r="BS180" s="14">
        <v>1</v>
      </c>
      <c r="BT180" s="14">
        <v>1</v>
      </c>
      <c r="BU180" s="14">
        <v>1</v>
      </c>
      <c r="BV180" s="14">
        <v>0</v>
      </c>
      <c r="BW180" s="40" t="s">
        <v>48</v>
      </c>
      <c r="BX180" s="41"/>
      <c r="BY180" s="41"/>
      <c r="BZ180" s="41"/>
      <c r="CA180" s="44"/>
      <c r="CB180" s="44"/>
      <c r="CC180" s="44"/>
      <c r="CD180" s="45"/>
      <c r="CE180" s="14">
        <v>0</v>
      </c>
      <c r="CF180" s="14">
        <v>0</v>
      </c>
      <c r="CG180" s="14">
        <v>0</v>
      </c>
      <c r="CH180" s="14">
        <v>0</v>
      </c>
      <c r="CI180" s="14">
        <v>0</v>
      </c>
      <c r="CJ180" s="14">
        <v>0</v>
      </c>
      <c r="CK180" s="14">
        <v>0</v>
      </c>
      <c r="CL180" s="14">
        <v>0</v>
      </c>
      <c r="CM180" s="40" t="s">
        <v>48</v>
      </c>
      <c r="CN180" s="41"/>
      <c r="CO180" s="41"/>
      <c r="CP180" s="41"/>
      <c r="CQ180" s="44"/>
      <c r="CR180" s="44"/>
      <c r="CS180" s="44"/>
      <c r="CT180" s="45"/>
    </row>
    <row r="181" spans="1:98" x14ac:dyDescent="0.25">
      <c r="A181" s="2"/>
      <c r="B181" s="2"/>
      <c r="C181" s="2"/>
      <c r="D181" s="2"/>
      <c r="E181" s="2"/>
      <c r="F181" s="2"/>
      <c r="G181" s="2"/>
      <c r="H181" s="2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2"/>
      <c r="BX181" s="12"/>
      <c r="BY181" s="12"/>
      <c r="BZ181" s="12"/>
      <c r="CA181" s="12"/>
      <c r="CB181" s="12"/>
      <c r="CC181" s="12"/>
      <c r="CD181" s="12"/>
      <c r="CE181" s="15">
        <v>0</v>
      </c>
      <c r="CF181" s="15">
        <v>0</v>
      </c>
      <c r="CG181" s="15">
        <v>0</v>
      </c>
      <c r="CH181" s="15">
        <v>0</v>
      </c>
      <c r="CI181" s="15">
        <v>0</v>
      </c>
      <c r="CJ181" s="15">
        <v>0</v>
      </c>
      <c r="CK181" s="15">
        <v>0</v>
      </c>
      <c r="CL181" s="15">
        <v>0</v>
      </c>
      <c r="CM181" s="12"/>
      <c r="CN181" s="12"/>
      <c r="CO181" s="12"/>
      <c r="CP181" s="12"/>
      <c r="CQ181" s="12"/>
      <c r="CR181" s="12"/>
      <c r="CS181" s="12"/>
      <c r="CT181" s="12"/>
    </row>
    <row r="182" spans="1:98" s="5" customFormat="1" x14ac:dyDescent="0.25">
      <c r="A182" s="7">
        <v>1</v>
      </c>
      <c r="B182" s="7">
        <v>2</v>
      </c>
      <c r="C182" s="7">
        <v>3</v>
      </c>
      <c r="D182" s="7">
        <v>4</v>
      </c>
      <c r="E182" s="7">
        <v>5</v>
      </c>
      <c r="F182" s="7">
        <v>6</v>
      </c>
      <c r="G182" s="7">
        <v>7</v>
      </c>
      <c r="H182" s="7">
        <v>8</v>
      </c>
      <c r="I182" s="50" t="s">
        <v>0</v>
      </c>
      <c r="J182" s="50"/>
      <c r="K182" s="50"/>
      <c r="L182" s="50"/>
      <c r="M182" s="49">
        <v>0</v>
      </c>
      <c r="N182" s="49"/>
      <c r="O182" s="49">
        <v>48</v>
      </c>
      <c r="P182" s="49"/>
      <c r="Q182" s="7">
        <v>1</v>
      </c>
      <c r="R182" s="7">
        <v>2</v>
      </c>
      <c r="S182" s="7">
        <v>3</v>
      </c>
      <c r="T182" s="7">
        <v>4</v>
      </c>
      <c r="U182" s="7">
        <v>5</v>
      </c>
      <c r="V182" s="7">
        <v>6</v>
      </c>
      <c r="W182" s="7">
        <v>7</v>
      </c>
      <c r="X182" s="7">
        <v>8</v>
      </c>
      <c r="Y182" s="50" t="s">
        <v>0</v>
      </c>
      <c r="Z182" s="50"/>
      <c r="AA182" s="50"/>
      <c r="AB182" s="50"/>
      <c r="AC182" s="49">
        <v>0</v>
      </c>
      <c r="AD182" s="49"/>
      <c r="AE182" s="49">
        <v>49</v>
      </c>
      <c r="AF182" s="49"/>
      <c r="BL182" s="23"/>
      <c r="BM182" s="20"/>
      <c r="BN182" s="20"/>
      <c r="BO182" s="28"/>
    </row>
    <row r="183" spans="1:98" x14ac:dyDescent="0.25">
      <c r="A183" s="11">
        <v>0</v>
      </c>
      <c r="B183" s="11">
        <v>0</v>
      </c>
      <c r="C183" s="11">
        <v>0</v>
      </c>
      <c r="D183" s="11">
        <v>1</v>
      </c>
      <c r="E183" s="11">
        <v>1</v>
      </c>
      <c r="F183" s="11">
        <v>0</v>
      </c>
      <c r="G183" s="11">
        <v>0</v>
      </c>
      <c r="H183" s="11">
        <v>0</v>
      </c>
      <c r="I183" s="4" t="str">
        <f>BIN2HEX(A190&amp;A189&amp;A188&amp;A187&amp;A186&amp;A185&amp;A184&amp;A183)</f>
        <v>0</v>
      </c>
      <c r="J183" s="4" t="str">
        <f t="shared" ref="J183" si="464">BIN2HEX(B190&amp;B189&amp;B188&amp;B187&amp;B186&amp;B185&amp;B184&amp;B183)</f>
        <v>0</v>
      </c>
      <c r="K183" s="4" t="str">
        <f t="shared" ref="K183" si="465">BIN2HEX(C190&amp;C189&amp;C188&amp;C187&amp;C186&amp;C185&amp;C184&amp;C183)</f>
        <v>3E</v>
      </c>
      <c r="L183" s="4" t="str">
        <f t="shared" ref="L183" si="466">BIN2HEX(D190&amp;D189&amp;D188&amp;D187&amp;D186&amp;D185&amp;D184&amp;D183)</f>
        <v>51</v>
      </c>
      <c r="M183" s="4" t="str">
        <f t="shared" ref="M183" si="467">BIN2HEX(E190&amp;E189&amp;E188&amp;E187&amp;E186&amp;E185&amp;E184&amp;E183)</f>
        <v>49</v>
      </c>
      <c r="N183" s="4" t="str">
        <f t="shared" ref="N183" si="468">BIN2HEX(F190&amp;F189&amp;F188&amp;F187&amp;F186&amp;F185&amp;F184&amp;F183)</f>
        <v>3E</v>
      </c>
      <c r="O183" s="4" t="str">
        <f t="shared" ref="O183" si="469">BIN2HEX(G190&amp;G189&amp;G188&amp;G187&amp;G186&amp;G185&amp;G184&amp;G183)</f>
        <v>0</v>
      </c>
      <c r="P183" s="4" t="str">
        <f>BIN2HEX(H190&amp;H189&amp;H188&amp;H187&amp;H186&amp;H185&amp;H184&amp;H183)</f>
        <v>0</v>
      </c>
      <c r="Q183" s="2">
        <v>0</v>
      </c>
      <c r="R183" s="2">
        <v>0</v>
      </c>
      <c r="S183" s="2">
        <v>0</v>
      </c>
      <c r="T183" s="2">
        <v>0</v>
      </c>
      <c r="U183" s="2">
        <v>1</v>
      </c>
      <c r="V183" s="2">
        <v>0</v>
      </c>
      <c r="W183" s="2">
        <v>0</v>
      </c>
      <c r="X183" s="2">
        <v>0</v>
      </c>
      <c r="Y183" s="4" t="str">
        <f>BIN2HEX(Q190&amp;Q189&amp;Q188&amp;Q187&amp;Q186&amp;Q185&amp;Q184&amp;Q183)</f>
        <v>0</v>
      </c>
      <c r="Z183" s="4" t="str">
        <f t="shared" ref="Z183" si="470">BIN2HEX(R190&amp;R189&amp;R188&amp;R187&amp;R186&amp;R185&amp;R184&amp;R183)</f>
        <v>0</v>
      </c>
      <c r="AA183" s="4" t="str">
        <f t="shared" ref="AA183" si="471">BIN2HEX(S190&amp;S189&amp;S188&amp;S187&amp;S186&amp;S185&amp;S184&amp;S183)</f>
        <v>4</v>
      </c>
      <c r="AB183" s="4" t="str">
        <f t="shared" ref="AB183" si="472">BIN2HEX(T190&amp;T189&amp;T188&amp;T187&amp;T186&amp;T185&amp;T184&amp;T183)</f>
        <v>2</v>
      </c>
      <c r="AC183" s="4" t="str">
        <f t="shared" ref="AC183" si="473">BIN2HEX(U190&amp;U189&amp;U188&amp;U187&amp;U186&amp;U185&amp;U184&amp;U183)</f>
        <v>7F</v>
      </c>
      <c r="AD183" s="4" t="str">
        <f t="shared" ref="AD183" si="474">BIN2HEX(V190&amp;V189&amp;V188&amp;V187&amp;V186&amp;V185&amp;V184&amp;V183)</f>
        <v>0</v>
      </c>
      <c r="AE183" s="4" t="str">
        <f t="shared" ref="AE183" si="475">BIN2HEX(W190&amp;W189&amp;W188&amp;W187&amp;W186&amp;W185&amp;W184&amp;W183)</f>
        <v>0</v>
      </c>
      <c r="AF183" s="3" t="str">
        <f>BIN2HEX(X190&amp;X189&amp;X188&amp;X187&amp;X186&amp;X185&amp;X184&amp;X183)</f>
        <v>0</v>
      </c>
      <c r="AG183" s="55" t="str">
        <f>I187
&amp;CHAR(10)&amp;Y187
&amp;CHAR(10)&amp;I196
&amp;CHAR(10)&amp;Y196
&amp;CHAR(10)&amp;I205
&amp;CHAR(10)&amp;Y205
&amp;CHAR(10)&amp;I214
&amp;CHAR(10)&amp;Y214
&amp;CHAR(10)&amp;I223
&amp;CHAR(10)&amp;Y223</f>
        <v>{{0x0, 0x0, 0x3E, 0x51, 0x49, 0x3E, 0x0, 0x0}, 8},  //0:0:48
{{0x0, 0x0, 0x4, 0x2, 0x7F, 0x0, 0x0, 0x0}, 8},  //1:0:49
{{0x0, 0x0, 0x42, 0x61, 0x51, 0x4E, 0x0, 0x0}, 8},  //2:0:50
{{0x0, 0x0, 0x22, 0x49, 0x49, 0x36, 0x0, 0x0}, 8},  //3:0:51
{{0x0, 0x0, 0xF, 0x8, 0x8, 0x7F, 0x0, 0x0}, 8},  //4:0:52
{{0x0, 0x0, 0x27, 0x45, 0x45, 0x39, 0x0, 0x0}, 8},  //5:0:53
{{0x0, 0x0, 0x3E, 0x49, 0x49, 0x32, 0x0, 0x0}, 8},  //6:0:54
{{0x0, 0x0, 0x1, 0x71, 0x9, 0x7, 0x0, 0x0}, 8},  //7:0:55
{{0x0, 0x0, 0x36, 0x49, 0x49, 0x36, 0x0, 0x0}, 8},  //8:0:56
{{0x0, 0x0, 0x26, 0x49, 0x49, 0x3E, 0x0, 0x0}, 8},  //9:0:57</v>
      </c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O183" s="58" t="str">
        <f>BW160
&amp;CHAR(10)&amp;CM160
&amp;CHAR(10)&amp;BW169
&amp;CHAR(10)&amp;CM169
&amp;CHAR(10)&amp;BW178
&amp;CHAR(10)&amp;CM178</f>
        <v>{{0x0, 0x0, 0x7F, 0x41, 0x0, 0x0, 0x0, 0x0}, 8},  //[:0:91
{{0x0, 0x0, 0x3, 0x1C, 0x60, 0x0, 0x0, 0x0}, 8},  //\:0:92
{{0x0, 0x0, 0x0, 0x41, 0x7F, 0x0, 0x0, 0x0}, 8},  //]:0:93
{{0x0, 0x4, 0x2, 0x1, 0x2, 0x4, 0x0, 0x0}, 8},  //^:0:94
{{0x0, 0x40, 0x40, 0x40, 0x40, 0x40, 0x40, 0x0}, 8},  //_:0:95
{{0x0, 0x0, 0x1, 0x2, 0x4, 0x0, 0x0, 0x0}, 8},  //`:0:96</v>
      </c>
      <c r="BP183" s="55"/>
      <c r="BQ183" s="55"/>
      <c r="BR183" s="55"/>
      <c r="BS183" s="55"/>
      <c r="BT183" s="55"/>
      <c r="BU183" s="55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/>
      <c r="CF183" s="55"/>
      <c r="CG183" s="55"/>
      <c r="CH183" s="55"/>
      <c r="CI183" s="55"/>
      <c r="CJ183" s="55"/>
      <c r="CK183" s="55"/>
      <c r="CL183" s="55"/>
      <c r="CM183" s="55"/>
      <c r="CN183" s="55"/>
      <c r="CO183" s="55"/>
      <c r="CP183" s="55"/>
    </row>
    <row r="184" spans="1:98" x14ac:dyDescent="0.25">
      <c r="A184" s="14">
        <v>0</v>
      </c>
      <c r="B184" s="11">
        <v>0</v>
      </c>
      <c r="C184" s="14">
        <v>1</v>
      </c>
      <c r="D184" s="14">
        <v>0</v>
      </c>
      <c r="E184" s="14">
        <v>0</v>
      </c>
      <c r="F184" s="14">
        <v>1</v>
      </c>
      <c r="G184" s="14">
        <v>0</v>
      </c>
      <c r="H184" s="14">
        <v>0</v>
      </c>
      <c r="I184" s="46" t="str">
        <f>"0x"&amp;I183&amp;", 0x"&amp;J183&amp;", 0x"&amp;K183&amp;", 0x"&amp;L183&amp;", 0x"&amp;M183&amp;", 0x"&amp;N183&amp;", 0x"&amp;O183&amp;", 0x"&amp;P183</f>
        <v>0x0, 0x0, 0x3E, 0x51, 0x49, 0x3E, 0x0, 0x0</v>
      </c>
      <c r="J184" s="47"/>
      <c r="K184" s="47"/>
      <c r="L184" s="47"/>
      <c r="M184" s="47"/>
      <c r="N184" s="47"/>
      <c r="O184" s="47"/>
      <c r="P184" s="47"/>
      <c r="Q184" s="5">
        <v>0</v>
      </c>
      <c r="R184" s="2">
        <v>0</v>
      </c>
      <c r="S184" s="2">
        <v>0</v>
      </c>
      <c r="T184" s="2">
        <v>1</v>
      </c>
      <c r="U184" s="2">
        <v>1</v>
      </c>
      <c r="V184" s="2">
        <v>0</v>
      </c>
      <c r="W184" s="2">
        <v>0</v>
      </c>
      <c r="X184" s="2">
        <v>0</v>
      </c>
      <c r="Y184" s="46" t="str">
        <f>"0x"&amp;Y183&amp;", 0x"&amp;Z183&amp;", 0x"&amp;AA183&amp;", 0x"&amp;AB183&amp;", 0x"&amp;AC183&amp;", 0x"&amp;AD183&amp;", 0x"&amp;AE183&amp;", 0x"&amp;AF183</f>
        <v>0x0, 0x0, 0x4, 0x2, 0x7F, 0x0, 0x0, 0x0</v>
      </c>
      <c r="Z184" s="47"/>
      <c r="AA184" s="47"/>
      <c r="AB184" s="47"/>
      <c r="AC184" s="47"/>
      <c r="AD184" s="47"/>
      <c r="AE184" s="47"/>
      <c r="AF184" s="48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O184" s="33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</row>
    <row r="185" spans="1:98" x14ac:dyDescent="0.25">
      <c r="A185" s="14">
        <v>0</v>
      </c>
      <c r="B185" s="11">
        <v>0</v>
      </c>
      <c r="C185" s="14">
        <v>1</v>
      </c>
      <c r="D185" s="14">
        <v>0</v>
      </c>
      <c r="E185" s="14">
        <v>0</v>
      </c>
      <c r="F185" s="14">
        <v>1</v>
      </c>
      <c r="G185" s="14">
        <v>0</v>
      </c>
      <c r="H185" s="14">
        <v>0</v>
      </c>
      <c r="I185" s="46"/>
      <c r="J185" s="47"/>
      <c r="K185" s="47"/>
      <c r="L185" s="47"/>
      <c r="M185" s="47"/>
      <c r="N185" s="47"/>
      <c r="O185" s="47"/>
      <c r="P185" s="47"/>
      <c r="Q185" s="5">
        <v>0</v>
      </c>
      <c r="R185" s="2">
        <v>0</v>
      </c>
      <c r="S185" s="2">
        <v>1</v>
      </c>
      <c r="T185" s="2">
        <v>0</v>
      </c>
      <c r="U185" s="2">
        <v>1</v>
      </c>
      <c r="V185" s="2">
        <v>0</v>
      </c>
      <c r="W185" s="2">
        <v>0</v>
      </c>
      <c r="X185" s="2">
        <v>0</v>
      </c>
      <c r="Y185" s="46"/>
      <c r="Z185" s="47"/>
      <c r="AA185" s="47"/>
      <c r="AB185" s="47"/>
      <c r="AC185" s="47"/>
      <c r="AD185" s="47"/>
      <c r="AE185" s="47"/>
      <c r="AF185" s="48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O185" s="33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</row>
    <row r="186" spans="1:98" x14ac:dyDescent="0.25">
      <c r="A186" s="14">
        <v>0</v>
      </c>
      <c r="B186" s="11">
        <v>0</v>
      </c>
      <c r="C186" s="14">
        <v>1</v>
      </c>
      <c r="D186" s="14">
        <v>0</v>
      </c>
      <c r="E186" s="14">
        <v>1</v>
      </c>
      <c r="F186" s="14">
        <v>1</v>
      </c>
      <c r="G186" s="14">
        <v>0</v>
      </c>
      <c r="H186" s="14">
        <v>0</v>
      </c>
      <c r="I186" s="51">
        <v>0</v>
      </c>
      <c r="J186" s="52"/>
      <c r="K186" s="52"/>
      <c r="L186" s="52"/>
      <c r="M186" s="52"/>
      <c r="N186" s="52"/>
      <c r="O186" s="52"/>
      <c r="P186" s="53"/>
      <c r="Q186" s="5">
        <v>0</v>
      </c>
      <c r="R186" s="2">
        <v>0</v>
      </c>
      <c r="S186" s="2">
        <v>0</v>
      </c>
      <c r="T186" s="2">
        <v>0</v>
      </c>
      <c r="U186" s="2">
        <v>1</v>
      </c>
      <c r="V186" s="2">
        <v>0</v>
      </c>
      <c r="W186" s="2">
        <v>0</v>
      </c>
      <c r="X186" s="2">
        <v>0</v>
      </c>
      <c r="Y186" s="51">
        <v>1</v>
      </c>
      <c r="Z186" s="52"/>
      <c r="AA186" s="52"/>
      <c r="AB186" s="52"/>
      <c r="AC186" s="52"/>
      <c r="AD186" s="52"/>
      <c r="AE186" s="52"/>
      <c r="AF186" s="53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O186" s="33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</row>
    <row r="187" spans="1:98" ht="15" customHeight="1" x14ac:dyDescent="0.25">
      <c r="A187" s="14">
        <v>0</v>
      </c>
      <c r="B187" s="11">
        <v>0</v>
      </c>
      <c r="C187" s="14">
        <v>1</v>
      </c>
      <c r="D187" s="14">
        <v>1</v>
      </c>
      <c r="E187" s="14">
        <v>0</v>
      </c>
      <c r="F187" s="14">
        <v>1</v>
      </c>
      <c r="G187" s="14">
        <v>0</v>
      </c>
      <c r="H187" s="14">
        <v>0</v>
      </c>
      <c r="I187" s="33" t="str">
        <f>"{{"&amp;I184&amp;"}"&amp;", "&amp;$I$1&amp;"},  //"&amp;I186&amp;":"&amp;M182&amp;":"&amp;O182</f>
        <v>{{0x0, 0x0, 0x3E, 0x51, 0x49, 0x3E, 0x0, 0x0}, 8},  //0:0:48</v>
      </c>
      <c r="J187" s="34"/>
      <c r="K187" s="34"/>
      <c r="L187" s="34"/>
      <c r="M187" s="34"/>
      <c r="N187" s="34"/>
      <c r="O187" s="34"/>
      <c r="P187" s="35"/>
      <c r="Q187" s="5">
        <v>0</v>
      </c>
      <c r="R187" s="2">
        <v>0</v>
      </c>
      <c r="S187" s="2">
        <v>0</v>
      </c>
      <c r="T187" s="2">
        <v>0</v>
      </c>
      <c r="U187" s="2">
        <v>1</v>
      </c>
      <c r="V187" s="2">
        <v>0</v>
      </c>
      <c r="W187" s="2">
        <v>0</v>
      </c>
      <c r="X187" s="2">
        <v>0</v>
      </c>
      <c r="Y187" s="33" t="str">
        <f>"{{"&amp;Y184&amp;"}"&amp;", "&amp;$I$1&amp;"},  //"&amp;Y186&amp;":"&amp;AC182&amp;":"&amp;AE182</f>
        <v>{{0x0, 0x0, 0x4, 0x2, 0x7F, 0x0, 0x0, 0x0}, 8},  //1:0:49</v>
      </c>
      <c r="Z187" s="34"/>
      <c r="AA187" s="34"/>
      <c r="AB187" s="34"/>
      <c r="AC187" s="34"/>
      <c r="AD187" s="34"/>
      <c r="AE187" s="34"/>
      <c r="AF187" s="35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O187" s="33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</row>
    <row r="188" spans="1:98" x14ac:dyDescent="0.25">
      <c r="A188" s="14">
        <v>0</v>
      </c>
      <c r="B188" s="11">
        <v>0</v>
      </c>
      <c r="C188" s="14">
        <v>1</v>
      </c>
      <c r="D188" s="14">
        <v>0</v>
      </c>
      <c r="E188" s="14">
        <v>0</v>
      </c>
      <c r="F188" s="14">
        <v>1</v>
      </c>
      <c r="G188" s="14">
        <v>0</v>
      </c>
      <c r="H188" s="14">
        <v>0</v>
      </c>
      <c r="I188" s="33"/>
      <c r="J188" s="34"/>
      <c r="K188" s="34"/>
      <c r="L188" s="34"/>
      <c r="M188" s="34"/>
      <c r="N188" s="34"/>
      <c r="O188" s="34"/>
      <c r="P188" s="35"/>
      <c r="Q188" s="5">
        <v>0</v>
      </c>
      <c r="R188" s="2">
        <v>0</v>
      </c>
      <c r="S188" s="2">
        <v>0</v>
      </c>
      <c r="T188" s="2">
        <v>0</v>
      </c>
      <c r="U188" s="2">
        <v>1</v>
      </c>
      <c r="V188" s="2">
        <v>0</v>
      </c>
      <c r="W188" s="2">
        <v>0</v>
      </c>
      <c r="X188" s="2">
        <v>0</v>
      </c>
      <c r="Y188" s="33"/>
      <c r="Z188" s="34"/>
      <c r="AA188" s="34"/>
      <c r="AB188" s="34"/>
      <c r="AC188" s="34"/>
      <c r="AD188" s="34"/>
      <c r="AE188" s="34"/>
      <c r="AF188" s="35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O188" s="33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</row>
    <row r="189" spans="1:98" x14ac:dyDescent="0.25">
      <c r="A189" s="14">
        <v>0</v>
      </c>
      <c r="B189" s="11">
        <v>0</v>
      </c>
      <c r="C189" s="14">
        <v>0</v>
      </c>
      <c r="D189" s="14">
        <v>1</v>
      </c>
      <c r="E189" s="14">
        <v>1</v>
      </c>
      <c r="F189" s="14">
        <v>0</v>
      </c>
      <c r="G189" s="14">
        <v>0</v>
      </c>
      <c r="H189" s="14">
        <v>0</v>
      </c>
      <c r="Q189" s="5">
        <v>0</v>
      </c>
      <c r="R189" s="2">
        <v>0</v>
      </c>
      <c r="S189" s="2">
        <v>0</v>
      </c>
      <c r="T189" s="2">
        <v>0</v>
      </c>
      <c r="U189" s="2">
        <v>1</v>
      </c>
      <c r="V189" s="2">
        <v>0</v>
      </c>
      <c r="W189" s="2">
        <v>0</v>
      </c>
      <c r="X189" s="2">
        <v>0</v>
      </c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O189" s="59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</row>
    <row r="190" spans="1:98" x14ac:dyDescent="0.25">
      <c r="A190" s="15">
        <v>0</v>
      </c>
      <c r="B190" s="11">
        <v>0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Q190" s="1">
        <v>0</v>
      </c>
      <c r="R190" s="2">
        <v>0</v>
      </c>
      <c r="S190" s="2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</row>
    <row r="191" spans="1:98" s="5" customFormat="1" x14ac:dyDescent="0.25">
      <c r="A191" s="7">
        <v>1</v>
      </c>
      <c r="B191" s="7">
        <v>2</v>
      </c>
      <c r="C191" s="7">
        <v>3</v>
      </c>
      <c r="D191" s="7">
        <v>4</v>
      </c>
      <c r="E191" s="7">
        <v>5</v>
      </c>
      <c r="F191" s="7">
        <v>6</v>
      </c>
      <c r="G191" s="7">
        <v>7</v>
      </c>
      <c r="H191" s="7">
        <v>8</v>
      </c>
      <c r="I191" s="50" t="s">
        <v>0</v>
      </c>
      <c r="J191" s="50"/>
      <c r="K191" s="50"/>
      <c r="L191" s="50"/>
      <c r="M191" s="49">
        <v>0</v>
      </c>
      <c r="N191" s="49"/>
      <c r="O191" s="49">
        <v>50</v>
      </c>
      <c r="P191" s="49"/>
      <c r="Q191" s="7">
        <v>1</v>
      </c>
      <c r="R191" s="7">
        <v>2</v>
      </c>
      <c r="S191" s="7">
        <v>3</v>
      </c>
      <c r="T191" s="7">
        <v>4</v>
      </c>
      <c r="U191" s="7">
        <v>5</v>
      </c>
      <c r="V191" s="7">
        <v>6</v>
      </c>
      <c r="W191" s="7">
        <v>7</v>
      </c>
      <c r="X191" s="7">
        <v>8</v>
      </c>
      <c r="Y191" s="50" t="s">
        <v>0</v>
      </c>
      <c r="Z191" s="50"/>
      <c r="AA191" s="50"/>
      <c r="AB191" s="50"/>
      <c r="AC191" s="49">
        <v>0</v>
      </c>
      <c r="AD191" s="49"/>
      <c r="AE191" s="49">
        <v>51</v>
      </c>
      <c r="AF191" s="49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20"/>
      <c r="BN191" s="20"/>
      <c r="BO191" s="28"/>
    </row>
    <row r="192" spans="1:98" x14ac:dyDescent="0.25">
      <c r="A192" s="2">
        <v>0</v>
      </c>
      <c r="B192" s="2">
        <v>0</v>
      </c>
      <c r="C192" s="2">
        <v>0</v>
      </c>
      <c r="D192" s="2">
        <v>1</v>
      </c>
      <c r="E192" s="2">
        <v>1</v>
      </c>
      <c r="F192" s="2">
        <v>0</v>
      </c>
      <c r="G192" s="2">
        <v>0</v>
      </c>
      <c r="H192" s="2">
        <v>0</v>
      </c>
      <c r="I192" s="4" t="str">
        <f>BIN2HEX(A199&amp;A198&amp;A197&amp;A196&amp;A195&amp;A194&amp;A193&amp;A192)</f>
        <v>0</v>
      </c>
      <c r="J192" s="4" t="str">
        <f t="shared" ref="J192" si="476">BIN2HEX(B199&amp;B198&amp;B197&amp;B196&amp;B195&amp;B194&amp;B193&amp;B192)</f>
        <v>0</v>
      </c>
      <c r="K192" s="4" t="str">
        <f t="shared" ref="K192" si="477">BIN2HEX(C199&amp;C198&amp;C197&amp;C196&amp;C195&amp;C194&amp;C193&amp;C192)</f>
        <v>42</v>
      </c>
      <c r="L192" s="4" t="str">
        <f t="shared" ref="L192" si="478">BIN2HEX(D199&amp;D198&amp;D197&amp;D196&amp;D195&amp;D194&amp;D193&amp;D192)</f>
        <v>61</v>
      </c>
      <c r="M192" s="4" t="str">
        <f t="shared" ref="M192" si="479">BIN2HEX(E199&amp;E198&amp;E197&amp;E196&amp;E195&amp;E194&amp;E193&amp;E192)</f>
        <v>51</v>
      </c>
      <c r="N192" s="4" t="str">
        <f t="shared" ref="N192" si="480">BIN2HEX(F199&amp;F198&amp;F197&amp;F196&amp;F195&amp;F194&amp;F193&amp;F192)</f>
        <v>4E</v>
      </c>
      <c r="O192" s="4" t="str">
        <f t="shared" ref="O192" si="481">BIN2HEX(G199&amp;G198&amp;G197&amp;G196&amp;G195&amp;G194&amp;G193&amp;G192)</f>
        <v>0</v>
      </c>
      <c r="P192" s="4" t="str">
        <f>BIN2HEX(H199&amp;H198&amp;H197&amp;H196&amp;H195&amp;H194&amp;H193&amp;H192)</f>
        <v>0</v>
      </c>
      <c r="Q192" s="2">
        <v>0</v>
      </c>
      <c r="R192" s="11">
        <v>0</v>
      </c>
      <c r="S192" s="11">
        <v>0</v>
      </c>
      <c r="T192" s="11">
        <v>1</v>
      </c>
      <c r="U192" s="11">
        <v>1</v>
      </c>
      <c r="V192" s="11">
        <v>0</v>
      </c>
      <c r="W192" s="11">
        <v>0</v>
      </c>
      <c r="X192" s="11">
        <v>0</v>
      </c>
      <c r="Y192" s="4" t="str">
        <f>BIN2HEX(Q199&amp;Q198&amp;Q197&amp;Q196&amp;Q195&amp;Q194&amp;Q193&amp;Q192)</f>
        <v>0</v>
      </c>
      <c r="Z192" s="4" t="str">
        <f t="shared" ref="Z192" si="482">BIN2HEX(R199&amp;R198&amp;R197&amp;R196&amp;R195&amp;R194&amp;R193&amp;R192)</f>
        <v>0</v>
      </c>
      <c r="AA192" s="4" t="str">
        <f t="shared" ref="AA192" si="483">BIN2HEX(S199&amp;S198&amp;S197&amp;S196&amp;S195&amp;S194&amp;S193&amp;S192)</f>
        <v>22</v>
      </c>
      <c r="AB192" s="4" t="str">
        <f t="shared" ref="AB192" si="484">BIN2HEX(T199&amp;T198&amp;T197&amp;T196&amp;T195&amp;T194&amp;T193&amp;T192)</f>
        <v>49</v>
      </c>
      <c r="AC192" s="4" t="str">
        <f t="shared" ref="AC192" si="485">BIN2HEX(U199&amp;U198&amp;U197&amp;U196&amp;U195&amp;U194&amp;U193&amp;U192)</f>
        <v>49</v>
      </c>
      <c r="AD192" s="4" t="str">
        <f t="shared" ref="AD192" si="486">BIN2HEX(V199&amp;V198&amp;V197&amp;V196&amp;V195&amp;V194&amp;V193&amp;V192)</f>
        <v>36</v>
      </c>
      <c r="AE192" s="4" t="str">
        <f t="shared" ref="AE192" si="487">BIN2HEX(W199&amp;W198&amp;W197&amp;W196&amp;W195&amp;W194&amp;W193&amp;W192)</f>
        <v>0</v>
      </c>
      <c r="AF192" s="3" t="str">
        <f>BIN2HEX(X199&amp;X198&amp;X197&amp;X196&amp;X195&amp;X194&amp;X193&amp;X192)</f>
        <v>0</v>
      </c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</row>
    <row r="193" spans="1:67" ht="15" customHeight="1" x14ac:dyDescent="0.25">
      <c r="A193" s="5">
        <v>0</v>
      </c>
      <c r="B193" s="2">
        <v>0</v>
      </c>
      <c r="C193" s="2">
        <v>1</v>
      </c>
      <c r="D193" s="2">
        <v>0</v>
      </c>
      <c r="E193" s="2">
        <v>0</v>
      </c>
      <c r="F193" s="2">
        <v>1</v>
      </c>
      <c r="G193" s="2">
        <v>0</v>
      </c>
      <c r="H193" s="2">
        <v>0</v>
      </c>
      <c r="I193" s="46" t="str">
        <f>"0x"&amp;I192&amp;", 0x"&amp;J192&amp;", 0x"&amp;K192&amp;", 0x"&amp;L192&amp;", 0x"&amp;M192&amp;", 0x"&amp;N192&amp;", 0x"&amp;O192&amp;", 0x"&amp;P192</f>
        <v>0x0, 0x0, 0x42, 0x61, 0x51, 0x4E, 0x0, 0x0</v>
      </c>
      <c r="J193" s="47"/>
      <c r="K193" s="47"/>
      <c r="L193" s="47"/>
      <c r="M193" s="47"/>
      <c r="N193" s="47"/>
      <c r="O193" s="47"/>
      <c r="P193" s="47"/>
      <c r="Q193" s="2">
        <v>0</v>
      </c>
      <c r="R193" s="14">
        <v>0</v>
      </c>
      <c r="S193" s="14">
        <v>1</v>
      </c>
      <c r="T193" s="14">
        <v>0</v>
      </c>
      <c r="U193" s="14">
        <v>0</v>
      </c>
      <c r="V193" s="14">
        <v>1</v>
      </c>
      <c r="W193" s="14">
        <v>0</v>
      </c>
      <c r="X193" s="14">
        <v>0</v>
      </c>
      <c r="Y193" s="46" t="str">
        <f>"0x"&amp;Y192&amp;", 0x"&amp;Z192&amp;", 0x"&amp;AA192&amp;", 0x"&amp;AB192&amp;", 0x"&amp;AC192&amp;", 0x"&amp;AD192&amp;", 0x"&amp;AE192&amp;", 0x"&amp;AF192</f>
        <v>0x0, 0x0, 0x22, 0x49, 0x49, 0x36, 0x0, 0x0</v>
      </c>
      <c r="Z193" s="47"/>
      <c r="AA193" s="47"/>
      <c r="AB193" s="47"/>
      <c r="AC193" s="47"/>
      <c r="AD193" s="47"/>
      <c r="AE193" s="47"/>
      <c r="AF193" s="48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</row>
    <row r="194" spans="1:67" x14ac:dyDescent="0.25">
      <c r="A194" s="5">
        <v>0</v>
      </c>
      <c r="B194" s="2">
        <v>0</v>
      </c>
      <c r="C194" s="5">
        <v>0</v>
      </c>
      <c r="D194" s="2">
        <v>0</v>
      </c>
      <c r="E194" s="5">
        <v>0</v>
      </c>
      <c r="F194" s="2">
        <v>1</v>
      </c>
      <c r="G194" s="2">
        <v>0</v>
      </c>
      <c r="H194" s="2">
        <v>0</v>
      </c>
      <c r="I194" s="46"/>
      <c r="J194" s="47"/>
      <c r="K194" s="47"/>
      <c r="L194" s="47"/>
      <c r="M194" s="47"/>
      <c r="N194" s="47"/>
      <c r="O194" s="47"/>
      <c r="P194" s="47"/>
      <c r="Q194" s="2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1</v>
      </c>
      <c r="W194" s="14">
        <v>0</v>
      </c>
      <c r="X194" s="14">
        <v>0</v>
      </c>
      <c r="Y194" s="46"/>
      <c r="Z194" s="47"/>
      <c r="AA194" s="47"/>
      <c r="AB194" s="47"/>
      <c r="AC194" s="47"/>
      <c r="AD194" s="47"/>
      <c r="AE194" s="47"/>
      <c r="AF194" s="48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</row>
    <row r="195" spans="1:67" x14ac:dyDescent="0.25">
      <c r="A195" s="5">
        <v>0</v>
      </c>
      <c r="B195" s="2">
        <v>0</v>
      </c>
      <c r="C195" s="5">
        <v>0</v>
      </c>
      <c r="D195" s="2">
        <v>0</v>
      </c>
      <c r="E195" s="5">
        <v>0</v>
      </c>
      <c r="F195" s="2">
        <v>1</v>
      </c>
      <c r="G195" s="2">
        <v>0</v>
      </c>
      <c r="H195" s="2">
        <v>0</v>
      </c>
      <c r="I195" s="51">
        <v>2</v>
      </c>
      <c r="J195" s="52"/>
      <c r="K195" s="52"/>
      <c r="L195" s="52"/>
      <c r="M195" s="52"/>
      <c r="N195" s="52"/>
      <c r="O195" s="52"/>
      <c r="P195" s="53"/>
      <c r="Q195" s="2">
        <v>0</v>
      </c>
      <c r="R195" s="14">
        <v>0</v>
      </c>
      <c r="S195" s="14">
        <v>0</v>
      </c>
      <c r="T195" s="14">
        <v>1</v>
      </c>
      <c r="U195" s="14">
        <v>1</v>
      </c>
      <c r="V195" s="14">
        <v>0</v>
      </c>
      <c r="W195" s="14">
        <v>0</v>
      </c>
      <c r="X195" s="14">
        <v>0</v>
      </c>
      <c r="Y195" s="51">
        <v>3</v>
      </c>
      <c r="Z195" s="52"/>
      <c r="AA195" s="52"/>
      <c r="AB195" s="52"/>
      <c r="AC195" s="52"/>
      <c r="AD195" s="52"/>
      <c r="AE195" s="52"/>
      <c r="AF195" s="53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</row>
    <row r="196" spans="1:67" ht="15" customHeight="1" x14ac:dyDescent="0.25">
      <c r="A196" s="5">
        <v>0</v>
      </c>
      <c r="B196" s="2">
        <v>0</v>
      </c>
      <c r="C196" s="5">
        <v>0</v>
      </c>
      <c r="D196" s="2">
        <v>0</v>
      </c>
      <c r="E196" s="5">
        <v>1</v>
      </c>
      <c r="F196" s="2">
        <v>0</v>
      </c>
      <c r="G196" s="2">
        <v>0</v>
      </c>
      <c r="H196" s="2">
        <v>0</v>
      </c>
      <c r="I196" s="33" t="str">
        <f>"{{"&amp;I193&amp;"}"&amp;", "&amp;$I$1&amp;"},  //"&amp;I195&amp;":"&amp;M191&amp;":"&amp;O191</f>
        <v>{{0x0, 0x0, 0x42, 0x61, 0x51, 0x4E, 0x0, 0x0}, 8},  //2:0:50</v>
      </c>
      <c r="J196" s="34"/>
      <c r="K196" s="34"/>
      <c r="L196" s="34"/>
      <c r="M196" s="34"/>
      <c r="N196" s="34"/>
      <c r="O196" s="34"/>
      <c r="P196" s="35"/>
      <c r="Q196" s="2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1</v>
      </c>
      <c r="W196" s="14">
        <v>0</v>
      </c>
      <c r="X196" s="14">
        <v>0</v>
      </c>
      <c r="Y196" s="33" t="str">
        <f>"{{"&amp;Y193&amp;"}"&amp;", "&amp;$I$1&amp;"},  //"&amp;Y195&amp;":"&amp;AC191&amp;":"&amp;AE191</f>
        <v>{{0x0, 0x0, 0x22, 0x49, 0x49, 0x36, 0x0, 0x0}, 8},  //3:0:51</v>
      </c>
      <c r="Z196" s="34"/>
      <c r="AA196" s="34"/>
      <c r="AB196" s="34"/>
      <c r="AC196" s="34"/>
      <c r="AD196" s="34"/>
      <c r="AE196" s="34"/>
      <c r="AF196" s="35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</row>
    <row r="197" spans="1:67" x14ac:dyDescent="0.25">
      <c r="A197" s="5">
        <v>0</v>
      </c>
      <c r="B197" s="2">
        <v>0</v>
      </c>
      <c r="C197" s="5">
        <v>0</v>
      </c>
      <c r="D197" s="2">
        <v>1</v>
      </c>
      <c r="E197" s="5">
        <v>0</v>
      </c>
      <c r="F197" s="2">
        <v>0</v>
      </c>
      <c r="G197" s="2">
        <v>0</v>
      </c>
      <c r="H197" s="2">
        <v>0</v>
      </c>
      <c r="I197" s="33"/>
      <c r="J197" s="34"/>
      <c r="K197" s="34"/>
      <c r="L197" s="34"/>
      <c r="M197" s="34"/>
      <c r="N197" s="34"/>
      <c r="O197" s="34"/>
      <c r="P197" s="35"/>
      <c r="Q197" s="2">
        <v>0</v>
      </c>
      <c r="R197" s="14">
        <v>0</v>
      </c>
      <c r="S197" s="14">
        <v>1</v>
      </c>
      <c r="T197" s="14">
        <v>0</v>
      </c>
      <c r="U197" s="14">
        <v>0</v>
      </c>
      <c r="V197" s="14">
        <v>1</v>
      </c>
      <c r="W197" s="14">
        <v>0</v>
      </c>
      <c r="X197" s="14">
        <v>0</v>
      </c>
      <c r="Y197" s="33"/>
      <c r="Z197" s="34"/>
      <c r="AA197" s="34"/>
      <c r="AB197" s="34"/>
      <c r="AC197" s="34"/>
      <c r="AD197" s="34"/>
      <c r="AE197" s="34"/>
      <c r="AF197" s="35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</row>
    <row r="198" spans="1:67" x14ac:dyDescent="0.25">
      <c r="A198" s="5">
        <v>0</v>
      </c>
      <c r="B198" s="2">
        <v>0</v>
      </c>
      <c r="C198" s="2">
        <v>1</v>
      </c>
      <c r="D198" s="2">
        <v>1</v>
      </c>
      <c r="E198" s="2">
        <v>1</v>
      </c>
      <c r="F198" s="2">
        <v>1</v>
      </c>
      <c r="G198" s="2">
        <v>0</v>
      </c>
      <c r="H198" s="2">
        <v>0</v>
      </c>
      <c r="Q198" s="2">
        <v>0</v>
      </c>
      <c r="R198" s="14">
        <v>0</v>
      </c>
      <c r="S198" s="14">
        <v>0</v>
      </c>
      <c r="T198" s="14">
        <v>1</v>
      </c>
      <c r="U198" s="14">
        <v>1</v>
      </c>
      <c r="V198" s="14">
        <v>0</v>
      </c>
      <c r="W198" s="14">
        <v>0</v>
      </c>
      <c r="X198" s="14">
        <v>0</v>
      </c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</row>
    <row r="199" spans="1:67" x14ac:dyDescent="0.25">
      <c r="A199" s="1">
        <v>0</v>
      </c>
      <c r="B199" s="2">
        <v>0</v>
      </c>
      <c r="C199" s="1">
        <v>0</v>
      </c>
      <c r="D199" s="2">
        <v>0</v>
      </c>
      <c r="E199" s="1">
        <v>0</v>
      </c>
      <c r="F199" s="1">
        <v>0</v>
      </c>
      <c r="G199" s="1">
        <v>0</v>
      </c>
      <c r="H199" s="1">
        <v>0</v>
      </c>
      <c r="Q199" s="1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</row>
    <row r="200" spans="1:67" s="5" customFormat="1" x14ac:dyDescent="0.25">
      <c r="A200" s="7">
        <v>1</v>
      </c>
      <c r="B200" s="7">
        <v>2</v>
      </c>
      <c r="C200" s="7">
        <v>3</v>
      </c>
      <c r="D200" s="7">
        <v>4</v>
      </c>
      <c r="E200" s="7">
        <v>5</v>
      </c>
      <c r="F200" s="7">
        <v>6</v>
      </c>
      <c r="G200" s="7">
        <v>7</v>
      </c>
      <c r="H200" s="7">
        <v>8</v>
      </c>
      <c r="I200" s="50" t="s">
        <v>0</v>
      </c>
      <c r="J200" s="50"/>
      <c r="K200" s="50"/>
      <c r="L200" s="50"/>
      <c r="M200" s="49">
        <v>0</v>
      </c>
      <c r="N200" s="49"/>
      <c r="O200" s="49">
        <v>52</v>
      </c>
      <c r="P200" s="49"/>
      <c r="Q200" s="7">
        <v>1</v>
      </c>
      <c r="R200" s="7">
        <v>2</v>
      </c>
      <c r="S200" s="7">
        <v>3</v>
      </c>
      <c r="T200" s="7">
        <v>4</v>
      </c>
      <c r="U200" s="7">
        <v>5</v>
      </c>
      <c r="V200" s="7">
        <v>6</v>
      </c>
      <c r="W200" s="7">
        <v>7</v>
      </c>
      <c r="X200" s="7">
        <v>8</v>
      </c>
      <c r="Y200" s="50" t="s">
        <v>0</v>
      </c>
      <c r="Z200" s="50"/>
      <c r="AA200" s="50"/>
      <c r="AB200" s="50"/>
      <c r="AC200" s="49">
        <v>0</v>
      </c>
      <c r="AD200" s="49"/>
      <c r="AE200" s="49">
        <v>53</v>
      </c>
      <c r="AF200" s="49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20"/>
      <c r="BN200" s="20"/>
      <c r="BO200" s="28"/>
    </row>
    <row r="201" spans="1:67" ht="15" customHeight="1" x14ac:dyDescent="0.25">
      <c r="A201" s="2">
        <v>0</v>
      </c>
      <c r="B201" s="2">
        <v>0</v>
      </c>
      <c r="C201" s="2">
        <v>1</v>
      </c>
      <c r="D201" s="2">
        <v>0</v>
      </c>
      <c r="E201" s="2">
        <v>0</v>
      </c>
      <c r="F201" s="2">
        <v>1</v>
      </c>
      <c r="G201" s="2">
        <v>0</v>
      </c>
      <c r="H201" s="2">
        <v>0</v>
      </c>
      <c r="I201" s="4" t="str">
        <f t="shared" ref="I201:P201" si="488">BIN2HEX(A208&amp;A207&amp;A206&amp;A205&amp;A204&amp;A203&amp;A202&amp;A201)</f>
        <v>0</v>
      </c>
      <c r="J201" s="4" t="str">
        <f t="shared" si="488"/>
        <v>0</v>
      </c>
      <c r="K201" s="4" t="str">
        <f t="shared" si="488"/>
        <v>F</v>
      </c>
      <c r="L201" s="4" t="str">
        <f t="shared" si="488"/>
        <v>8</v>
      </c>
      <c r="M201" s="4" t="str">
        <f t="shared" si="488"/>
        <v>8</v>
      </c>
      <c r="N201" s="4" t="str">
        <f t="shared" si="488"/>
        <v>7F</v>
      </c>
      <c r="O201" s="4" t="str">
        <f t="shared" si="488"/>
        <v>0</v>
      </c>
      <c r="P201" s="4" t="str">
        <f t="shared" si="488"/>
        <v>0</v>
      </c>
      <c r="Q201" s="2">
        <v>0</v>
      </c>
      <c r="R201" s="2">
        <v>0</v>
      </c>
      <c r="S201" s="2">
        <v>1</v>
      </c>
      <c r="T201" s="2">
        <v>1</v>
      </c>
      <c r="U201" s="2">
        <v>1</v>
      </c>
      <c r="V201" s="2">
        <v>1</v>
      </c>
      <c r="W201" s="2">
        <v>0</v>
      </c>
      <c r="X201" s="2">
        <v>0</v>
      </c>
      <c r="Y201" s="4" t="str">
        <f t="shared" ref="Y201:AF201" si="489">BIN2HEX(Q208&amp;Q207&amp;Q206&amp;Q205&amp;Q204&amp;Q203&amp;Q202&amp;Q201)</f>
        <v>0</v>
      </c>
      <c r="Z201" s="4" t="str">
        <f t="shared" si="489"/>
        <v>0</v>
      </c>
      <c r="AA201" s="4" t="str">
        <f t="shared" si="489"/>
        <v>27</v>
      </c>
      <c r="AB201" s="4" t="str">
        <f t="shared" si="489"/>
        <v>45</v>
      </c>
      <c r="AC201" s="4" t="str">
        <f t="shared" si="489"/>
        <v>45</v>
      </c>
      <c r="AD201" s="4" t="str">
        <f t="shared" si="489"/>
        <v>39</v>
      </c>
      <c r="AE201" s="4" t="str">
        <f t="shared" si="489"/>
        <v>0</v>
      </c>
      <c r="AF201" s="3" t="str">
        <f t="shared" si="489"/>
        <v>0</v>
      </c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</row>
    <row r="202" spans="1:67" ht="15" customHeight="1" x14ac:dyDescent="0.25">
      <c r="A202" s="2">
        <v>0</v>
      </c>
      <c r="B202" s="2">
        <v>0</v>
      </c>
      <c r="C202" s="2">
        <v>1</v>
      </c>
      <c r="D202" s="2">
        <v>0</v>
      </c>
      <c r="E202" s="2">
        <v>0</v>
      </c>
      <c r="F202" s="2">
        <v>1</v>
      </c>
      <c r="G202" s="2">
        <v>0</v>
      </c>
      <c r="H202" s="2">
        <v>0</v>
      </c>
      <c r="I202" s="46" t="str">
        <f>"0x"&amp;I201&amp;", 0x"&amp;J201&amp;", 0x"&amp;K201&amp;", 0x"&amp;L201&amp;", 0x"&amp;M201&amp;", 0x"&amp;N201&amp;", 0x"&amp;O201&amp;", 0x"&amp;P201</f>
        <v>0x0, 0x0, 0xF, 0x8, 0x8, 0x7F, 0x0, 0x0</v>
      </c>
      <c r="J202" s="47"/>
      <c r="K202" s="47"/>
      <c r="L202" s="47"/>
      <c r="M202" s="47"/>
      <c r="N202" s="47"/>
      <c r="O202" s="47"/>
      <c r="P202" s="47"/>
      <c r="Q202" s="2">
        <v>0</v>
      </c>
      <c r="R202" s="2">
        <v>0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47" t="str">
        <f>"0x"&amp;Y201&amp;", 0x"&amp;Z201&amp;", 0x"&amp;AA201&amp;", 0x"&amp;AB201&amp;", 0x"&amp;AC201&amp;", 0x"&amp;AD201&amp;", 0x"&amp;AE201&amp;", 0x"&amp;AF201</f>
        <v>0x0, 0x0, 0x27, 0x45, 0x45, 0x39, 0x0, 0x0</v>
      </c>
      <c r="Z202" s="47"/>
      <c r="AA202" s="47"/>
      <c r="AB202" s="47"/>
      <c r="AC202" s="47"/>
      <c r="AD202" s="47"/>
      <c r="AE202" s="47"/>
      <c r="AF202" s="48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</row>
    <row r="203" spans="1:67" x14ac:dyDescent="0.25">
      <c r="A203" s="2">
        <v>0</v>
      </c>
      <c r="B203" s="2">
        <v>0</v>
      </c>
      <c r="C203" s="2">
        <v>1</v>
      </c>
      <c r="D203" s="2">
        <v>0</v>
      </c>
      <c r="E203" s="2">
        <v>0</v>
      </c>
      <c r="F203" s="2">
        <v>1</v>
      </c>
      <c r="G203" s="2">
        <v>0</v>
      </c>
      <c r="H203" s="2">
        <v>0</v>
      </c>
      <c r="I203" s="46"/>
      <c r="J203" s="47"/>
      <c r="K203" s="47"/>
      <c r="L203" s="47"/>
      <c r="M203" s="47"/>
      <c r="N203" s="47"/>
      <c r="O203" s="47"/>
      <c r="P203" s="47"/>
      <c r="Q203" s="2">
        <v>0</v>
      </c>
      <c r="R203" s="2">
        <v>0</v>
      </c>
      <c r="S203" s="2">
        <v>1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47"/>
      <c r="Z203" s="47"/>
      <c r="AA203" s="47"/>
      <c r="AB203" s="47"/>
      <c r="AC203" s="47"/>
      <c r="AD203" s="47"/>
      <c r="AE203" s="47"/>
      <c r="AF203" s="48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</row>
    <row r="204" spans="1:67" x14ac:dyDescent="0.25">
      <c r="A204" s="2">
        <v>0</v>
      </c>
      <c r="B204" s="2">
        <v>0</v>
      </c>
      <c r="C204" s="2">
        <v>1</v>
      </c>
      <c r="D204" s="2">
        <v>1</v>
      </c>
      <c r="E204" s="2">
        <v>1</v>
      </c>
      <c r="F204" s="2">
        <v>1</v>
      </c>
      <c r="G204" s="2">
        <v>0</v>
      </c>
      <c r="H204" s="2">
        <v>0</v>
      </c>
      <c r="I204" s="51">
        <v>4</v>
      </c>
      <c r="J204" s="52"/>
      <c r="K204" s="52"/>
      <c r="L204" s="52"/>
      <c r="M204" s="52"/>
      <c r="N204" s="52"/>
      <c r="O204" s="52"/>
      <c r="P204" s="53"/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1</v>
      </c>
      <c r="W204" s="2">
        <v>0</v>
      </c>
      <c r="X204" s="2">
        <v>0</v>
      </c>
      <c r="Y204" s="51">
        <v>5</v>
      </c>
      <c r="Z204" s="52"/>
      <c r="AA204" s="52"/>
      <c r="AB204" s="52"/>
      <c r="AC204" s="52"/>
      <c r="AD204" s="52"/>
      <c r="AE204" s="52"/>
      <c r="AF204" s="53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</row>
    <row r="205" spans="1:67" ht="15" customHeight="1" x14ac:dyDescent="0.25">
      <c r="A205" s="2">
        <v>0</v>
      </c>
      <c r="B205" s="2">
        <v>0</v>
      </c>
      <c r="C205" s="2">
        <v>0</v>
      </c>
      <c r="D205" s="2">
        <v>0</v>
      </c>
      <c r="E205" s="2">
        <v>0</v>
      </c>
      <c r="F205" s="2">
        <v>1</v>
      </c>
      <c r="G205" s="2">
        <v>0</v>
      </c>
      <c r="H205" s="2">
        <v>0</v>
      </c>
      <c r="I205" s="33" t="str">
        <f>"{{"&amp;I202&amp;"}"&amp;", "&amp;$I$1&amp;"},  //"&amp;I204&amp;":"&amp;M200&amp;":"&amp;O200</f>
        <v>{{0x0, 0x0, 0xF, 0x8, 0x8, 0x7F, 0x0, 0x0}, 8},  //4:0:52</v>
      </c>
      <c r="J205" s="34"/>
      <c r="K205" s="34"/>
      <c r="L205" s="34"/>
      <c r="M205" s="34"/>
      <c r="N205" s="34"/>
      <c r="O205" s="34"/>
      <c r="P205" s="35"/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</v>
      </c>
      <c r="W205" s="2">
        <v>0</v>
      </c>
      <c r="X205" s="2">
        <v>0</v>
      </c>
      <c r="Y205" s="33" t="str">
        <f>"{{"&amp;Y202&amp;"}"&amp;", "&amp;$I$1&amp;"},  //"&amp;Y204&amp;":"&amp;AC200&amp;":"&amp;AE200</f>
        <v>{{0x0, 0x0, 0x27, 0x45, 0x45, 0x39, 0x0, 0x0}, 8},  //5:0:53</v>
      </c>
      <c r="Z205" s="34"/>
      <c r="AA205" s="34"/>
      <c r="AB205" s="34"/>
      <c r="AC205" s="34"/>
      <c r="AD205" s="34"/>
      <c r="AE205" s="34"/>
      <c r="AF205" s="35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</row>
    <row r="206" spans="1:67" x14ac:dyDescent="0.25">
      <c r="A206" s="2">
        <v>0</v>
      </c>
      <c r="B206" s="2">
        <v>0</v>
      </c>
      <c r="C206" s="2">
        <v>0</v>
      </c>
      <c r="D206" s="2">
        <v>0</v>
      </c>
      <c r="E206" s="2">
        <v>0</v>
      </c>
      <c r="F206" s="2">
        <v>1</v>
      </c>
      <c r="G206" s="2">
        <v>0</v>
      </c>
      <c r="H206" s="2">
        <v>0</v>
      </c>
      <c r="I206" s="33"/>
      <c r="J206" s="34"/>
      <c r="K206" s="34"/>
      <c r="L206" s="34"/>
      <c r="M206" s="34"/>
      <c r="N206" s="34"/>
      <c r="O206" s="34"/>
      <c r="P206" s="35"/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1</v>
      </c>
      <c r="W206" s="2">
        <v>0</v>
      </c>
      <c r="X206" s="2">
        <v>0</v>
      </c>
      <c r="Y206" s="33"/>
      <c r="Z206" s="34"/>
      <c r="AA206" s="34"/>
      <c r="AB206" s="34"/>
      <c r="AC206" s="34"/>
      <c r="AD206" s="34"/>
      <c r="AE206" s="34"/>
      <c r="AF206" s="35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</row>
    <row r="207" spans="1:67" x14ac:dyDescent="0.25">
      <c r="A207" s="2">
        <v>0</v>
      </c>
      <c r="B207" s="2">
        <v>0</v>
      </c>
      <c r="C207" s="2">
        <v>0</v>
      </c>
      <c r="D207" s="2">
        <v>0</v>
      </c>
      <c r="E207" s="2">
        <v>0</v>
      </c>
      <c r="F207" s="2">
        <v>1</v>
      </c>
      <c r="G207" s="2">
        <v>0</v>
      </c>
      <c r="H207" s="2">
        <v>0</v>
      </c>
      <c r="Q207" s="2">
        <v>0</v>
      </c>
      <c r="R207" s="2">
        <v>0</v>
      </c>
      <c r="S207" s="2">
        <v>0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</row>
    <row r="208" spans="1:67" x14ac:dyDescent="0.25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</row>
    <row r="209" spans="1:64" x14ac:dyDescent="0.25">
      <c r="A209" s="7">
        <v>1</v>
      </c>
      <c r="B209" s="7">
        <v>2</v>
      </c>
      <c r="C209" s="7">
        <v>3</v>
      </c>
      <c r="D209" s="7">
        <v>4</v>
      </c>
      <c r="E209" s="7">
        <v>5</v>
      </c>
      <c r="F209" s="7">
        <v>6</v>
      </c>
      <c r="G209" s="7">
        <v>7</v>
      </c>
      <c r="H209" s="7">
        <v>8</v>
      </c>
      <c r="I209" s="50" t="s">
        <v>0</v>
      </c>
      <c r="J209" s="50"/>
      <c r="K209" s="50"/>
      <c r="L209" s="50"/>
      <c r="M209" s="49">
        <v>0</v>
      </c>
      <c r="N209" s="49"/>
      <c r="O209" s="49">
        <v>54</v>
      </c>
      <c r="P209" s="49"/>
      <c r="Q209" s="7">
        <v>1</v>
      </c>
      <c r="R209" s="7">
        <v>2</v>
      </c>
      <c r="S209" s="7">
        <v>3</v>
      </c>
      <c r="T209" s="7">
        <v>4</v>
      </c>
      <c r="U209" s="7">
        <v>5</v>
      </c>
      <c r="V209" s="7">
        <v>6</v>
      </c>
      <c r="W209" s="7">
        <v>7</v>
      </c>
      <c r="X209" s="7">
        <v>8</v>
      </c>
      <c r="Y209" s="50" t="s">
        <v>0</v>
      </c>
      <c r="Z209" s="50"/>
      <c r="AA209" s="50"/>
      <c r="AB209" s="50"/>
      <c r="AC209" s="49">
        <v>0</v>
      </c>
      <c r="AD209" s="49"/>
      <c r="AE209" s="49">
        <v>55</v>
      </c>
      <c r="AF209" s="4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</row>
    <row r="210" spans="1:64" x14ac:dyDescent="0.25">
      <c r="A210" s="2">
        <v>0</v>
      </c>
      <c r="B210" s="2">
        <v>0</v>
      </c>
      <c r="C210" s="2">
        <v>0</v>
      </c>
      <c r="D210" s="2">
        <v>1</v>
      </c>
      <c r="E210" s="2">
        <v>1</v>
      </c>
      <c r="F210" s="2">
        <v>0</v>
      </c>
      <c r="G210" s="2">
        <v>0</v>
      </c>
      <c r="H210" s="2">
        <v>0</v>
      </c>
      <c r="I210" s="4" t="str">
        <f>BIN2HEX(A217&amp;A216&amp;A215&amp;A214&amp;A213&amp;A212&amp;A211&amp;A210)</f>
        <v>0</v>
      </c>
      <c r="J210" s="4" t="str">
        <f t="shared" ref="J210" si="490">BIN2HEX(B217&amp;B216&amp;B215&amp;B214&amp;B213&amp;B212&amp;B211&amp;B210)</f>
        <v>0</v>
      </c>
      <c r="K210" s="4" t="str">
        <f t="shared" ref="K210" si="491">BIN2HEX(C217&amp;C216&amp;C215&amp;C214&amp;C213&amp;C212&amp;C211&amp;C210)</f>
        <v>3E</v>
      </c>
      <c r="L210" s="4" t="str">
        <f t="shared" ref="L210" si="492">BIN2HEX(D217&amp;D216&amp;D215&amp;D214&amp;D213&amp;D212&amp;D211&amp;D210)</f>
        <v>49</v>
      </c>
      <c r="M210" s="4" t="str">
        <f t="shared" ref="M210" si="493">BIN2HEX(E217&amp;E216&amp;E215&amp;E214&amp;E213&amp;E212&amp;E211&amp;E210)</f>
        <v>49</v>
      </c>
      <c r="N210" s="4" t="str">
        <f t="shared" ref="N210" si="494">BIN2HEX(F217&amp;F216&amp;F215&amp;F214&amp;F213&amp;F212&amp;F211&amp;F210)</f>
        <v>32</v>
      </c>
      <c r="O210" s="4" t="str">
        <f t="shared" ref="O210" si="495">BIN2HEX(G217&amp;G216&amp;G215&amp;G214&amp;G213&amp;G212&amp;G211&amp;G210)</f>
        <v>0</v>
      </c>
      <c r="P210" s="4" t="str">
        <f>BIN2HEX(H217&amp;H216&amp;H215&amp;H214&amp;H213&amp;H212&amp;H211&amp;H210)</f>
        <v>0</v>
      </c>
      <c r="Q210" s="2">
        <v>0</v>
      </c>
      <c r="R210" s="2">
        <v>0</v>
      </c>
      <c r="S210" s="2">
        <v>1</v>
      </c>
      <c r="T210" s="2">
        <v>1</v>
      </c>
      <c r="U210" s="2">
        <v>1</v>
      </c>
      <c r="V210" s="2">
        <v>1</v>
      </c>
      <c r="W210" s="2">
        <v>0</v>
      </c>
      <c r="X210" s="2">
        <v>0</v>
      </c>
      <c r="Y210" s="4" t="str">
        <f>BIN2HEX(Q217&amp;Q216&amp;Q215&amp;Q214&amp;Q213&amp;Q212&amp;Q211&amp;Q210)</f>
        <v>0</v>
      </c>
      <c r="Z210" s="4" t="str">
        <f t="shared" ref="Z210" si="496">BIN2HEX(R217&amp;R216&amp;R215&amp;R214&amp;R213&amp;R212&amp;R211&amp;R210)</f>
        <v>0</v>
      </c>
      <c r="AA210" s="4" t="str">
        <f t="shared" ref="AA210" si="497">BIN2HEX(S217&amp;S216&amp;S215&amp;S214&amp;S213&amp;S212&amp;S211&amp;S210)</f>
        <v>1</v>
      </c>
      <c r="AB210" s="4" t="str">
        <f t="shared" ref="AB210" si="498">BIN2HEX(T217&amp;T216&amp;T215&amp;T214&amp;T213&amp;T212&amp;T211&amp;T210)</f>
        <v>71</v>
      </c>
      <c r="AC210" s="4" t="str">
        <f t="shared" ref="AC210" si="499">BIN2HEX(U217&amp;U216&amp;U215&amp;U214&amp;U213&amp;U212&amp;U211&amp;U210)</f>
        <v>9</v>
      </c>
      <c r="AD210" s="4" t="str">
        <f t="shared" ref="AD210" si="500">BIN2HEX(V217&amp;V216&amp;V215&amp;V214&amp;V213&amp;V212&amp;V211&amp;V210)</f>
        <v>7</v>
      </c>
      <c r="AE210" s="4" t="str">
        <f t="shared" ref="AE210" si="501">BIN2HEX(W217&amp;W216&amp;W215&amp;W214&amp;W213&amp;W212&amp;W211&amp;W210)</f>
        <v>0</v>
      </c>
      <c r="AF210" s="3" t="str">
        <f>BIN2HEX(X217&amp;X216&amp;X215&amp;X214&amp;X213&amp;X212&amp;X211&amp;X210)</f>
        <v>0</v>
      </c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</row>
    <row r="211" spans="1:64" x14ac:dyDescent="0.25">
      <c r="A211" s="2">
        <v>0</v>
      </c>
      <c r="B211" s="2">
        <v>0</v>
      </c>
      <c r="C211" s="2">
        <v>1</v>
      </c>
      <c r="D211" s="2">
        <v>0</v>
      </c>
      <c r="E211" s="2">
        <v>0</v>
      </c>
      <c r="F211" s="2">
        <v>1</v>
      </c>
      <c r="G211" s="2">
        <v>0</v>
      </c>
      <c r="H211" s="2">
        <v>0</v>
      </c>
      <c r="I211" s="46" t="str">
        <f>"0x"&amp;I210&amp;", 0x"&amp;J210&amp;", 0x"&amp;K210&amp;", 0x"&amp;L210&amp;", 0x"&amp;M210&amp;", 0x"&amp;N210&amp;", 0x"&amp;O210&amp;", 0x"&amp;P210</f>
        <v>0x0, 0x0, 0x3E, 0x49, 0x49, 0x32, 0x0, 0x0</v>
      </c>
      <c r="J211" s="47"/>
      <c r="K211" s="47"/>
      <c r="L211" s="47"/>
      <c r="M211" s="47"/>
      <c r="N211" s="47"/>
      <c r="O211" s="47"/>
      <c r="P211" s="47"/>
      <c r="Q211" s="5">
        <v>0</v>
      </c>
      <c r="R211" s="2">
        <v>0</v>
      </c>
      <c r="S211" s="5">
        <v>0</v>
      </c>
      <c r="T211" s="5">
        <v>0</v>
      </c>
      <c r="U211" s="5">
        <v>0</v>
      </c>
      <c r="V211" s="5">
        <v>1</v>
      </c>
      <c r="W211" s="5">
        <v>0</v>
      </c>
      <c r="X211" s="5">
        <v>0</v>
      </c>
      <c r="Y211" s="46" t="str">
        <f>"0x"&amp;Y210&amp;", 0x"&amp;Z210&amp;", 0x"&amp;AA210&amp;", 0x"&amp;AB210&amp;", 0x"&amp;AC210&amp;", 0x"&amp;AD210&amp;", 0x"&amp;AE210&amp;", 0x"&amp;AF210</f>
        <v>0x0, 0x0, 0x1, 0x71, 0x9, 0x7, 0x0, 0x0</v>
      </c>
      <c r="Z211" s="47"/>
      <c r="AA211" s="47"/>
      <c r="AB211" s="47"/>
      <c r="AC211" s="47"/>
      <c r="AD211" s="47"/>
      <c r="AE211" s="47"/>
      <c r="AF211" s="48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</row>
    <row r="212" spans="1:64" x14ac:dyDescent="0.25">
      <c r="A212" s="2">
        <v>0</v>
      </c>
      <c r="B212" s="2">
        <v>0</v>
      </c>
      <c r="C212" s="2">
        <v>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46"/>
      <c r="J212" s="47"/>
      <c r="K212" s="47"/>
      <c r="L212" s="47"/>
      <c r="M212" s="47"/>
      <c r="N212" s="47"/>
      <c r="O212" s="47"/>
      <c r="P212" s="47"/>
      <c r="Q212" s="5">
        <v>0</v>
      </c>
      <c r="R212" s="2">
        <v>0</v>
      </c>
      <c r="S212" s="5">
        <v>0</v>
      </c>
      <c r="T212" s="5">
        <v>0</v>
      </c>
      <c r="U212" s="5">
        <v>0</v>
      </c>
      <c r="V212" s="5">
        <v>1</v>
      </c>
      <c r="W212" s="5">
        <v>0</v>
      </c>
      <c r="X212" s="5">
        <v>0</v>
      </c>
      <c r="Y212" s="46"/>
      <c r="Z212" s="47"/>
      <c r="AA212" s="47"/>
      <c r="AB212" s="47"/>
      <c r="AC212" s="47"/>
      <c r="AD212" s="47"/>
      <c r="AE212" s="47"/>
      <c r="AF212" s="48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</row>
    <row r="213" spans="1:64" x14ac:dyDescent="0.25">
      <c r="A213" s="2">
        <v>0</v>
      </c>
      <c r="B213" s="2">
        <v>0</v>
      </c>
      <c r="C213" s="2">
        <v>1</v>
      </c>
      <c r="D213" s="2">
        <v>1</v>
      </c>
      <c r="E213" s="2">
        <v>1</v>
      </c>
      <c r="F213" s="2">
        <v>0</v>
      </c>
      <c r="G213" s="2">
        <v>0</v>
      </c>
      <c r="H213" s="2">
        <v>0</v>
      </c>
      <c r="I213" s="51">
        <v>6</v>
      </c>
      <c r="J213" s="52"/>
      <c r="K213" s="52"/>
      <c r="L213" s="52"/>
      <c r="M213" s="52"/>
      <c r="N213" s="52"/>
      <c r="O213" s="52"/>
      <c r="P213" s="53"/>
      <c r="Q213" s="5">
        <v>0</v>
      </c>
      <c r="R213" s="2">
        <v>0</v>
      </c>
      <c r="S213" s="5">
        <v>0</v>
      </c>
      <c r="T213" s="5">
        <v>0</v>
      </c>
      <c r="U213" s="5">
        <v>1</v>
      </c>
      <c r="V213" s="5">
        <v>0</v>
      </c>
      <c r="W213" s="5">
        <v>0</v>
      </c>
      <c r="X213" s="5">
        <v>0</v>
      </c>
      <c r="Y213" s="54">
        <v>7</v>
      </c>
      <c r="Z213" s="52"/>
      <c r="AA213" s="52"/>
      <c r="AB213" s="52"/>
      <c r="AC213" s="52"/>
      <c r="AD213" s="52"/>
      <c r="AE213" s="52"/>
      <c r="AF213" s="53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</row>
    <row r="214" spans="1:64" ht="15" customHeight="1" x14ac:dyDescent="0.25">
      <c r="A214" s="2">
        <v>0</v>
      </c>
      <c r="B214" s="2">
        <v>0</v>
      </c>
      <c r="C214" s="2">
        <v>1</v>
      </c>
      <c r="D214" s="2">
        <v>0</v>
      </c>
      <c r="E214" s="2">
        <v>0</v>
      </c>
      <c r="F214" s="2">
        <v>1</v>
      </c>
      <c r="G214" s="2">
        <v>0</v>
      </c>
      <c r="H214" s="2">
        <v>0</v>
      </c>
      <c r="I214" s="33" t="str">
        <f>"{{"&amp;I211&amp;"}"&amp;", "&amp;$I$1&amp;"},  //"&amp;I213&amp;":"&amp;M209&amp;":"&amp;O209</f>
        <v>{{0x0, 0x0, 0x3E, 0x49, 0x49, 0x32, 0x0, 0x0}, 8},  //6:0:54</v>
      </c>
      <c r="J214" s="34"/>
      <c r="K214" s="34"/>
      <c r="L214" s="34"/>
      <c r="M214" s="34"/>
      <c r="N214" s="34"/>
      <c r="O214" s="34"/>
      <c r="P214" s="35"/>
      <c r="Q214" s="5">
        <v>0</v>
      </c>
      <c r="R214" s="2">
        <v>0</v>
      </c>
      <c r="S214" s="5">
        <v>0</v>
      </c>
      <c r="T214" s="5">
        <v>1</v>
      </c>
      <c r="U214" s="5">
        <v>0</v>
      </c>
      <c r="V214" s="5">
        <v>0</v>
      </c>
      <c r="W214" s="5">
        <v>0</v>
      </c>
      <c r="X214" s="5">
        <v>0</v>
      </c>
      <c r="Y214" s="33" t="str">
        <f>"{{"&amp;Y211&amp;"}"&amp;", "&amp;$I$1&amp;"},  //"&amp;Y213&amp;":"&amp;AC209&amp;":"&amp;AE209</f>
        <v>{{0x0, 0x0, 0x1, 0x71, 0x9, 0x7, 0x0, 0x0}, 8},  //7:0:55</v>
      </c>
      <c r="Z214" s="34"/>
      <c r="AA214" s="34"/>
      <c r="AB214" s="34"/>
      <c r="AC214" s="34"/>
      <c r="AD214" s="34"/>
      <c r="AE214" s="34"/>
      <c r="AF214" s="35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</row>
    <row r="215" spans="1:64" x14ac:dyDescent="0.25">
      <c r="A215" s="2">
        <v>0</v>
      </c>
      <c r="B215" s="2">
        <v>0</v>
      </c>
      <c r="C215" s="2">
        <v>1</v>
      </c>
      <c r="D215" s="2">
        <v>0</v>
      </c>
      <c r="E215" s="2">
        <v>0</v>
      </c>
      <c r="F215" s="2">
        <v>1</v>
      </c>
      <c r="G215" s="2">
        <v>0</v>
      </c>
      <c r="H215" s="2">
        <v>0</v>
      </c>
      <c r="I215" s="33"/>
      <c r="J215" s="34"/>
      <c r="K215" s="34"/>
      <c r="L215" s="34"/>
      <c r="M215" s="34"/>
      <c r="N215" s="34"/>
      <c r="O215" s="34"/>
      <c r="P215" s="35"/>
      <c r="Q215" s="5">
        <v>0</v>
      </c>
      <c r="R215" s="2">
        <v>0</v>
      </c>
      <c r="S215" s="5">
        <v>0</v>
      </c>
      <c r="T215" s="5">
        <v>1</v>
      </c>
      <c r="U215" s="5">
        <v>0</v>
      </c>
      <c r="V215" s="5">
        <v>0</v>
      </c>
      <c r="W215" s="5">
        <v>0</v>
      </c>
      <c r="X215" s="5">
        <v>0</v>
      </c>
      <c r="Y215" s="33"/>
      <c r="Z215" s="34"/>
      <c r="AA215" s="34"/>
      <c r="AB215" s="34"/>
      <c r="AC215" s="34"/>
      <c r="AD215" s="34"/>
      <c r="AE215" s="34"/>
      <c r="AF215" s="35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</row>
    <row r="216" spans="1:64" x14ac:dyDescent="0.25">
      <c r="A216" s="2">
        <v>0</v>
      </c>
      <c r="B216" s="2">
        <v>0</v>
      </c>
      <c r="C216" s="2">
        <v>0</v>
      </c>
      <c r="D216" s="2">
        <v>1</v>
      </c>
      <c r="E216" s="2">
        <v>1</v>
      </c>
      <c r="F216" s="2">
        <v>0</v>
      </c>
      <c r="G216" s="2">
        <v>0</v>
      </c>
      <c r="H216" s="2">
        <v>0</v>
      </c>
      <c r="Q216" s="5">
        <v>0</v>
      </c>
      <c r="R216" s="2">
        <v>0</v>
      </c>
      <c r="S216" s="5">
        <v>0</v>
      </c>
      <c r="T216" s="5">
        <v>1</v>
      </c>
      <c r="U216" s="5">
        <v>0</v>
      </c>
      <c r="V216" s="5">
        <v>0</v>
      </c>
      <c r="W216" s="5">
        <v>0</v>
      </c>
      <c r="X216" s="5">
        <v>0</v>
      </c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</row>
    <row r="217" spans="1:64" x14ac:dyDescent="0.25">
      <c r="A217" s="2">
        <v>0</v>
      </c>
      <c r="B217" s="2">
        <v>0</v>
      </c>
      <c r="C217" s="1">
        <v>0</v>
      </c>
      <c r="D217" s="1">
        <v>0</v>
      </c>
      <c r="E217" s="1">
        <v>0</v>
      </c>
      <c r="F217" s="1">
        <v>0</v>
      </c>
      <c r="G217" s="2">
        <v>0</v>
      </c>
      <c r="H217" s="2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</row>
    <row r="218" spans="1:64" x14ac:dyDescent="0.25">
      <c r="A218" s="7">
        <v>1</v>
      </c>
      <c r="B218" s="7">
        <v>2</v>
      </c>
      <c r="C218" s="7">
        <v>3</v>
      </c>
      <c r="D218" s="7">
        <v>4</v>
      </c>
      <c r="E218" s="7">
        <v>5</v>
      </c>
      <c r="F218" s="7">
        <v>6</v>
      </c>
      <c r="G218" s="7">
        <v>7</v>
      </c>
      <c r="H218" s="7">
        <v>8</v>
      </c>
      <c r="I218" s="50" t="s">
        <v>0</v>
      </c>
      <c r="J218" s="50"/>
      <c r="K218" s="50"/>
      <c r="L218" s="50"/>
      <c r="M218" s="49">
        <v>0</v>
      </c>
      <c r="N218" s="49"/>
      <c r="O218" s="49">
        <v>56</v>
      </c>
      <c r="P218" s="49"/>
      <c r="Q218" s="7">
        <v>1</v>
      </c>
      <c r="R218" s="7">
        <v>2</v>
      </c>
      <c r="S218" s="7">
        <v>3</v>
      </c>
      <c r="T218" s="7">
        <v>4</v>
      </c>
      <c r="U218" s="7">
        <v>5</v>
      </c>
      <c r="V218" s="7">
        <v>6</v>
      </c>
      <c r="W218" s="7">
        <v>7</v>
      </c>
      <c r="X218" s="7">
        <v>8</v>
      </c>
      <c r="Y218" s="50" t="s">
        <v>0</v>
      </c>
      <c r="Z218" s="50"/>
      <c r="AA218" s="50"/>
      <c r="AB218" s="50"/>
      <c r="AC218" s="49">
        <v>0</v>
      </c>
      <c r="AD218" s="49"/>
      <c r="AE218" s="49">
        <v>57</v>
      </c>
      <c r="AF218" s="4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</row>
    <row r="219" spans="1:64" x14ac:dyDescent="0.25">
      <c r="A219" s="2">
        <v>0</v>
      </c>
      <c r="B219" s="11">
        <v>0</v>
      </c>
      <c r="C219" s="11">
        <v>0</v>
      </c>
      <c r="D219" s="11">
        <v>1</v>
      </c>
      <c r="E219" s="11">
        <v>1</v>
      </c>
      <c r="F219" s="11">
        <v>0</v>
      </c>
      <c r="G219" s="11">
        <v>0</v>
      </c>
      <c r="H219" s="11">
        <v>0</v>
      </c>
      <c r="I219" s="4" t="str">
        <f t="shared" ref="I219:P219" si="502">BIN2HEX(A226&amp;A225&amp;A224&amp;A223&amp;A222&amp;A221&amp;A220&amp;A219)</f>
        <v>0</v>
      </c>
      <c r="J219" s="4" t="str">
        <f t="shared" si="502"/>
        <v>0</v>
      </c>
      <c r="K219" s="4" t="str">
        <f t="shared" si="502"/>
        <v>36</v>
      </c>
      <c r="L219" s="4" t="str">
        <f t="shared" si="502"/>
        <v>49</v>
      </c>
      <c r="M219" s="4" t="str">
        <f t="shared" si="502"/>
        <v>49</v>
      </c>
      <c r="N219" s="4" t="str">
        <f t="shared" si="502"/>
        <v>36</v>
      </c>
      <c r="O219" s="4" t="str">
        <f t="shared" si="502"/>
        <v>0</v>
      </c>
      <c r="P219" s="4" t="str">
        <f t="shared" si="502"/>
        <v>0</v>
      </c>
      <c r="Q219" s="2">
        <v>0</v>
      </c>
      <c r="R219" s="2">
        <v>0</v>
      </c>
      <c r="S219" s="2">
        <v>0</v>
      </c>
      <c r="T219" s="2">
        <v>1</v>
      </c>
      <c r="U219" s="2">
        <v>1</v>
      </c>
      <c r="V219" s="2">
        <v>0</v>
      </c>
      <c r="W219" s="2">
        <v>0</v>
      </c>
      <c r="X219" s="2">
        <v>0</v>
      </c>
      <c r="Y219" s="4" t="str">
        <f t="shared" ref="Y219:AF219" si="503">BIN2HEX(Q226&amp;Q225&amp;Q224&amp;Q223&amp;Q222&amp;Q221&amp;Q220&amp;Q219)</f>
        <v>0</v>
      </c>
      <c r="Z219" s="4" t="str">
        <f t="shared" si="503"/>
        <v>0</v>
      </c>
      <c r="AA219" s="4" t="str">
        <f t="shared" si="503"/>
        <v>26</v>
      </c>
      <c r="AB219" s="4" t="str">
        <f t="shared" si="503"/>
        <v>49</v>
      </c>
      <c r="AC219" s="4" t="str">
        <f t="shared" si="503"/>
        <v>49</v>
      </c>
      <c r="AD219" s="4" t="str">
        <f t="shared" si="503"/>
        <v>3E</v>
      </c>
      <c r="AE219" s="4" t="str">
        <f t="shared" si="503"/>
        <v>0</v>
      </c>
      <c r="AF219" s="3" t="str">
        <f t="shared" si="503"/>
        <v>0</v>
      </c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</row>
    <row r="220" spans="1:64" x14ac:dyDescent="0.25">
      <c r="A220" s="2">
        <v>0</v>
      </c>
      <c r="B220" s="14">
        <v>0</v>
      </c>
      <c r="C220" s="14">
        <v>1</v>
      </c>
      <c r="D220" s="14">
        <v>0</v>
      </c>
      <c r="E220" s="14">
        <v>0</v>
      </c>
      <c r="F220" s="14">
        <v>1</v>
      </c>
      <c r="G220" s="14">
        <v>0</v>
      </c>
      <c r="H220" s="14">
        <v>0</v>
      </c>
      <c r="I220" s="46" t="str">
        <f>"0x"&amp;I219&amp;", 0x"&amp;J219&amp;", 0x"&amp;K219&amp;", 0x"&amp;L219&amp;", 0x"&amp;M219&amp;", 0x"&amp;N219&amp;", 0x"&amp;O219&amp;", 0x"&amp;P219</f>
        <v>0x0, 0x0, 0x36, 0x49, 0x49, 0x36, 0x0, 0x0</v>
      </c>
      <c r="J220" s="47"/>
      <c r="K220" s="47"/>
      <c r="L220" s="47"/>
      <c r="M220" s="47"/>
      <c r="N220" s="47"/>
      <c r="O220" s="47"/>
      <c r="P220" s="47"/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1</v>
      </c>
      <c r="W220" s="2">
        <v>0</v>
      </c>
      <c r="X220" s="2">
        <v>0</v>
      </c>
      <c r="Y220" s="47" t="str">
        <f>"0x"&amp;Y219&amp;", 0x"&amp;Z219&amp;", 0x"&amp;AA219&amp;", 0x"&amp;AB219&amp;", 0x"&amp;AC219&amp;", 0x"&amp;AD219&amp;", 0x"&amp;AE219&amp;", 0x"&amp;AF219</f>
        <v>0x0, 0x0, 0x26, 0x49, 0x49, 0x3E, 0x0, 0x0</v>
      </c>
      <c r="Z220" s="47"/>
      <c r="AA220" s="47"/>
      <c r="AB220" s="47"/>
      <c r="AC220" s="47"/>
      <c r="AD220" s="47"/>
      <c r="AE220" s="47"/>
      <c r="AF220" s="48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</row>
    <row r="221" spans="1:64" x14ac:dyDescent="0.25">
      <c r="A221" s="2">
        <v>0</v>
      </c>
      <c r="B221" s="14">
        <v>0</v>
      </c>
      <c r="C221" s="14">
        <v>1</v>
      </c>
      <c r="D221" s="14">
        <v>0</v>
      </c>
      <c r="E221" s="14">
        <v>0</v>
      </c>
      <c r="F221" s="14">
        <v>1</v>
      </c>
      <c r="G221" s="14">
        <v>0</v>
      </c>
      <c r="H221" s="14">
        <v>0</v>
      </c>
      <c r="I221" s="46"/>
      <c r="J221" s="47"/>
      <c r="K221" s="47"/>
      <c r="L221" s="47"/>
      <c r="M221" s="47"/>
      <c r="N221" s="47"/>
      <c r="O221" s="47"/>
      <c r="P221" s="47"/>
      <c r="Q221" s="2">
        <v>0</v>
      </c>
      <c r="R221" s="2">
        <v>0</v>
      </c>
      <c r="S221" s="2">
        <v>1</v>
      </c>
      <c r="T221" s="2">
        <v>0</v>
      </c>
      <c r="U221" s="2">
        <v>0</v>
      </c>
      <c r="V221" s="2">
        <v>1</v>
      </c>
      <c r="W221" s="2">
        <v>0</v>
      </c>
      <c r="X221" s="2">
        <v>0</v>
      </c>
      <c r="Y221" s="47"/>
      <c r="Z221" s="47"/>
      <c r="AA221" s="47"/>
      <c r="AB221" s="47"/>
      <c r="AC221" s="47"/>
      <c r="AD221" s="47"/>
      <c r="AE221" s="47"/>
      <c r="AF221" s="48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</row>
    <row r="222" spans="1:64" x14ac:dyDescent="0.25">
      <c r="A222" s="2">
        <v>0</v>
      </c>
      <c r="B222" s="14">
        <v>0</v>
      </c>
      <c r="C222" s="14">
        <v>0</v>
      </c>
      <c r="D222" s="14">
        <v>1</v>
      </c>
      <c r="E222" s="14">
        <v>1</v>
      </c>
      <c r="F222" s="14">
        <v>0</v>
      </c>
      <c r="G222" s="14">
        <v>0</v>
      </c>
      <c r="H222" s="14">
        <v>0</v>
      </c>
      <c r="I222" s="51">
        <v>8</v>
      </c>
      <c r="J222" s="52"/>
      <c r="K222" s="52"/>
      <c r="L222" s="52"/>
      <c r="M222" s="52"/>
      <c r="N222" s="52"/>
      <c r="O222" s="52"/>
      <c r="P222" s="53"/>
      <c r="Q222" s="2">
        <v>0</v>
      </c>
      <c r="R222" s="2">
        <v>0</v>
      </c>
      <c r="S222" s="2">
        <v>0</v>
      </c>
      <c r="T222" s="2">
        <v>1</v>
      </c>
      <c r="U222" s="2">
        <v>1</v>
      </c>
      <c r="V222" s="2">
        <v>1</v>
      </c>
      <c r="W222" s="2">
        <v>0</v>
      </c>
      <c r="X222" s="2">
        <v>0</v>
      </c>
      <c r="Y222" s="51">
        <v>9</v>
      </c>
      <c r="Z222" s="52"/>
      <c r="AA222" s="52"/>
      <c r="AB222" s="52"/>
      <c r="AC222" s="52"/>
      <c r="AD222" s="52"/>
      <c r="AE222" s="52"/>
      <c r="AF222" s="53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</row>
    <row r="223" spans="1:64" ht="15" customHeight="1" x14ac:dyDescent="0.25">
      <c r="A223" s="2">
        <v>0</v>
      </c>
      <c r="B223" s="14">
        <v>0</v>
      </c>
      <c r="C223" s="14">
        <v>1</v>
      </c>
      <c r="D223" s="14">
        <v>0</v>
      </c>
      <c r="E223" s="14">
        <v>0</v>
      </c>
      <c r="F223" s="14">
        <v>1</v>
      </c>
      <c r="G223" s="14">
        <v>0</v>
      </c>
      <c r="H223" s="14">
        <v>0</v>
      </c>
      <c r="I223" s="33" t="str">
        <f>"{{"&amp;I220&amp;"}"&amp;", "&amp;$I$1&amp;"},  //"&amp;I222&amp;":"&amp;M218&amp;":"&amp;O218</f>
        <v>{{0x0, 0x0, 0x36, 0x49, 0x49, 0x36, 0x0, 0x0}, 8},  //8:0:56</v>
      </c>
      <c r="J223" s="34"/>
      <c r="K223" s="34"/>
      <c r="L223" s="34"/>
      <c r="M223" s="34"/>
      <c r="N223" s="34"/>
      <c r="O223" s="34"/>
      <c r="P223" s="35"/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1</v>
      </c>
      <c r="W223" s="2">
        <v>0</v>
      </c>
      <c r="X223" s="2">
        <v>0</v>
      </c>
      <c r="Y223" s="33" t="str">
        <f>"{{"&amp;Y220&amp;"}"&amp;", "&amp;$I$1&amp;"},  //"&amp;Y222&amp;":"&amp;AC218&amp;":"&amp;AE218</f>
        <v>{{0x0, 0x0, 0x26, 0x49, 0x49, 0x3E, 0x0, 0x0}, 8},  //9:0:57</v>
      </c>
      <c r="Z223" s="34"/>
      <c r="AA223" s="34"/>
      <c r="AB223" s="34"/>
      <c r="AC223" s="34"/>
      <c r="AD223" s="34"/>
      <c r="AE223" s="34"/>
      <c r="AF223" s="35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</row>
    <row r="224" spans="1:64" x14ac:dyDescent="0.25">
      <c r="A224" s="2">
        <v>0</v>
      </c>
      <c r="B224" s="14">
        <v>0</v>
      </c>
      <c r="C224" s="14">
        <v>1</v>
      </c>
      <c r="D224" s="14">
        <v>0</v>
      </c>
      <c r="E224" s="14">
        <v>0</v>
      </c>
      <c r="F224" s="14">
        <v>1</v>
      </c>
      <c r="G224" s="14">
        <v>0</v>
      </c>
      <c r="H224" s="14">
        <v>0</v>
      </c>
      <c r="I224" s="33"/>
      <c r="J224" s="34"/>
      <c r="K224" s="34"/>
      <c r="L224" s="34"/>
      <c r="M224" s="34"/>
      <c r="N224" s="34"/>
      <c r="O224" s="34"/>
      <c r="P224" s="35"/>
      <c r="Q224" s="2">
        <v>0</v>
      </c>
      <c r="R224" s="2">
        <v>0</v>
      </c>
      <c r="S224" s="2">
        <v>1</v>
      </c>
      <c r="T224" s="2">
        <v>0</v>
      </c>
      <c r="U224" s="2">
        <v>0</v>
      </c>
      <c r="V224" s="2">
        <v>1</v>
      </c>
      <c r="W224" s="2">
        <v>0</v>
      </c>
      <c r="X224" s="2">
        <v>0</v>
      </c>
      <c r="Y224" s="33"/>
      <c r="Z224" s="34"/>
      <c r="AA224" s="34"/>
      <c r="AB224" s="34"/>
      <c r="AC224" s="34"/>
      <c r="AD224" s="34"/>
      <c r="AE224" s="34"/>
      <c r="AF224" s="35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</row>
    <row r="225" spans="1:64" x14ac:dyDescent="0.25">
      <c r="A225" s="2">
        <v>0</v>
      </c>
      <c r="B225" s="14">
        <v>0</v>
      </c>
      <c r="C225" s="14">
        <v>0</v>
      </c>
      <c r="D225" s="14">
        <v>1</v>
      </c>
      <c r="E225" s="14">
        <v>1</v>
      </c>
      <c r="F225" s="14">
        <v>0</v>
      </c>
      <c r="G225" s="14">
        <v>0</v>
      </c>
      <c r="H225" s="14">
        <v>0</v>
      </c>
      <c r="Q225" s="2">
        <v>0</v>
      </c>
      <c r="R225" s="2">
        <v>0</v>
      </c>
      <c r="S225" s="2">
        <v>0</v>
      </c>
      <c r="T225" s="2">
        <v>1</v>
      </c>
      <c r="U225" s="2">
        <v>1</v>
      </c>
      <c r="V225" s="2">
        <v>0</v>
      </c>
      <c r="W225" s="2">
        <v>0</v>
      </c>
      <c r="X225" s="2">
        <v>0</v>
      </c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</row>
    <row r="226" spans="1:64" x14ac:dyDescent="0.25">
      <c r="A226" s="1">
        <v>0</v>
      </c>
      <c r="B226" s="15">
        <v>0</v>
      </c>
      <c r="C226" s="15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Q226" s="2">
        <v>0</v>
      </c>
      <c r="R226" s="2">
        <v>0</v>
      </c>
      <c r="S226" s="1">
        <v>0</v>
      </c>
      <c r="T226" s="1">
        <v>0</v>
      </c>
      <c r="U226" s="1">
        <v>0</v>
      </c>
      <c r="V226" s="1">
        <v>0</v>
      </c>
      <c r="W226" s="2">
        <v>0</v>
      </c>
      <c r="X226" s="2">
        <v>0</v>
      </c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</row>
    <row r="227" spans="1:64" x14ac:dyDescent="0.25">
      <c r="A227" s="7">
        <v>1</v>
      </c>
      <c r="B227" s="7">
        <v>2</v>
      </c>
      <c r="C227" s="7">
        <v>3</v>
      </c>
      <c r="D227" s="7">
        <v>4</v>
      </c>
      <c r="E227" s="7">
        <v>5</v>
      </c>
      <c r="F227" s="7">
        <v>6</v>
      </c>
      <c r="G227" s="7">
        <v>7</v>
      </c>
      <c r="H227" s="7">
        <v>8</v>
      </c>
      <c r="I227" s="50" t="s">
        <v>0</v>
      </c>
      <c r="J227" s="50"/>
      <c r="K227" s="50"/>
      <c r="L227" s="50"/>
      <c r="M227" s="49">
        <v>0</v>
      </c>
      <c r="N227" s="49"/>
      <c r="O227" s="49">
        <v>58</v>
      </c>
      <c r="P227" s="49"/>
      <c r="Q227" s="7">
        <v>1</v>
      </c>
      <c r="R227" s="7">
        <v>2</v>
      </c>
      <c r="S227" s="7">
        <v>3</v>
      </c>
      <c r="T227" s="7">
        <v>4</v>
      </c>
      <c r="U227" s="7">
        <v>5</v>
      </c>
      <c r="V227" s="7">
        <v>6</v>
      </c>
      <c r="W227" s="7">
        <v>7</v>
      </c>
      <c r="X227" s="7">
        <v>8</v>
      </c>
      <c r="Y227" s="50" t="s">
        <v>0</v>
      </c>
      <c r="Z227" s="50"/>
      <c r="AA227" s="50"/>
      <c r="AB227" s="50"/>
      <c r="AC227" s="49">
        <v>0</v>
      </c>
      <c r="AD227" s="49"/>
      <c r="AE227" s="49">
        <v>59</v>
      </c>
      <c r="AF227" s="4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</row>
    <row r="228" spans="1:64" x14ac:dyDescent="0.25">
      <c r="A228" s="11">
        <v>0</v>
      </c>
      <c r="B228" s="11">
        <v>0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4" t="str">
        <f>BIN2HEX(A235&amp;A234&amp;A233&amp;A232&amp;A231&amp;A230&amp;A229&amp;A228)</f>
        <v>0</v>
      </c>
      <c r="J228" s="4" t="str">
        <f t="shared" ref="J228" si="504">BIN2HEX(B235&amp;B234&amp;B233&amp;B232&amp;B231&amp;B230&amp;B229&amp;B228)</f>
        <v>0</v>
      </c>
      <c r="K228" s="4" t="str">
        <f t="shared" ref="K228" si="505">BIN2HEX(C235&amp;C234&amp;C233&amp;C232&amp;C231&amp;C230&amp;C229&amp;C228)</f>
        <v>0</v>
      </c>
      <c r="L228" s="4" t="str">
        <f t="shared" ref="L228" si="506">BIN2HEX(D235&amp;D234&amp;D233&amp;D232&amp;D231&amp;D230&amp;D229&amp;D228)</f>
        <v>6C</v>
      </c>
      <c r="M228" s="4" t="str">
        <f t="shared" ref="M228" si="507">BIN2HEX(E235&amp;E234&amp;E233&amp;E232&amp;E231&amp;E230&amp;E229&amp;E228)</f>
        <v>6C</v>
      </c>
      <c r="N228" s="4" t="str">
        <f t="shared" ref="N228" si="508">BIN2HEX(F235&amp;F234&amp;F233&amp;F232&amp;F231&amp;F230&amp;F229&amp;F228)</f>
        <v>0</v>
      </c>
      <c r="O228" s="4" t="str">
        <f t="shared" ref="O228" si="509">BIN2HEX(G235&amp;G234&amp;G233&amp;G232&amp;G231&amp;G230&amp;G229&amp;G228)</f>
        <v>0</v>
      </c>
      <c r="P228" s="4" t="str">
        <f>BIN2HEX(H235&amp;H234&amp;H233&amp;H232&amp;H231&amp;H230&amp;H229&amp;H228)</f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4" t="str">
        <f>BIN2HEX(Q235&amp;Q234&amp;Q233&amp;Q232&amp;Q231&amp;Q230&amp;Q229&amp;Q228)</f>
        <v>0</v>
      </c>
      <c r="Z228" s="4" t="str">
        <f t="shared" ref="Z228" si="510">BIN2HEX(R235&amp;R234&amp;R233&amp;R232&amp;R231&amp;R230&amp;R229&amp;R228)</f>
        <v>0</v>
      </c>
      <c r="AA228" s="4" t="str">
        <f t="shared" ref="AA228" si="511">BIN2HEX(S235&amp;S234&amp;S233&amp;S232&amp;S231&amp;S230&amp;S229&amp;S228)</f>
        <v>0</v>
      </c>
      <c r="AB228" s="4" t="str">
        <f t="shared" ref="AB228" si="512">BIN2HEX(T235&amp;T234&amp;T233&amp;T232&amp;T231&amp;T230&amp;T229&amp;T228)</f>
        <v>6C</v>
      </c>
      <c r="AC228" s="4" t="str">
        <f t="shared" ref="AC228" si="513">BIN2HEX(U235&amp;U234&amp;U233&amp;U232&amp;U231&amp;U230&amp;U229&amp;U228)</f>
        <v>EC</v>
      </c>
      <c r="AD228" s="4" t="str">
        <f t="shared" ref="AD228" si="514">BIN2HEX(V235&amp;V234&amp;V233&amp;V232&amp;V231&amp;V230&amp;V229&amp;V228)</f>
        <v>0</v>
      </c>
      <c r="AE228" s="4" t="str">
        <f t="shared" ref="AE228" si="515">BIN2HEX(W235&amp;W234&amp;W233&amp;W232&amp;W231&amp;W230&amp;W229&amp;W228)</f>
        <v>0</v>
      </c>
      <c r="AF228" s="3" t="str">
        <f>BIN2HEX(X235&amp;X234&amp;X233&amp;X232&amp;X231&amp;X230&amp;X229&amp;X228)</f>
        <v>0</v>
      </c>
      <c r="AG228" s="55" t="str">
        <f>I232
&amp;CHAR(10)&amp;Y232
&amp;CHAR(10)&amp;I241
&amp;CHAR(10)&amp;Y241
&amp;CHAR(10)&amp;I250
&amp;CHAR(10)&amp;Y250
&amp;CHAR(10)&amp;I259
&amp;CHAR(10)&amp;Y259
&amp;CHAR(10)&amp;I268
&amp;CHAR(10)&amp;Y268</f>
        <v xml:space="preserve">{{0x0, 0x0, 0x0, 0x6C, 0x6C, 0x0, 0x0, 0x0}, 8},  //::0:58
{{0x0, 0x0, 0x0, 0x6C, 0xEC, 0x0, 0x0, 0x0}, 8},  //;:0:59
{{0x0, 0x0, 0x8, 0x14, 0x22, 0x41, 0x0, 0x0}, 8},  //&gt;:0:60
{{0x0, 0x0, 0x14, 0x14, 0x14, 0x14, 0x0, 0x0}, 8},  //=:0:61
{{0x0, 0x0, 0x41, 0x22, 0x14, 0x8, 0x0, 0x0}, 8},  //1:0:62
{{0x0, 0x0, 0x2, 0x51, 0x9, 0x6, 0x0, 0x0}, 8},  //?:0:63
{{0x0, 0x0, 0x0, 0x0, 0x0, 0x0, 0x0, 0x0}, 8},  //@:0:64
</v>
      </c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</row>
    <row r="229" spans="1:64" x14ac:dyDescent="0.25">
      <c r="A229" s="11">
        <v>0</v>
      </c>
      <c r="B229" s="11">
        <v>0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46" t="str">
        <f>"0x"&amp;I228&amp;", 0x"&amp;J228&amp;", 0x"&amp;K228&amp;", 0x"&amp;L228&amp;", 0x"&amp;M228&amp;", 0x"&amp;N228&amp;", 0x"&amp;O228&amp;", 0x"&amp;P228</f>
        <v>0x0, 0x0, 0x0, 0x6C, 0x6C, 0x0, 0x0, 0x0</v>
      </c>
      <c r="J229" s="47"/>
      <c r="K229" s="47"/>
      <c r="L229" s="47"/>
      <c r="M229" s="47"/>
      <c r="N229" s="47"/>
      <c r="O229" s="47"/>
      <c r="P229" s="47"/>
      <c r="Q229" s="5">
        <v>0</v>
      </c>
      <c r="R229" s="2">
        <v>0</v>
      </c>
      <c r="S229" s="11">
        <v>0</v>
      </c>
      <c r="T229" s="11">
        <v>0</v>
      </c>
      <c r="U229" s="11">
        <v>0</v>
      </c>
      <c r="V229" s="11">
        <v>0</v>
      </c>
      <c r="W229" s="2">
        <v>0</v>
      </c>
      <c r="X229" s="2">
        <v>0</v>
      </c>
      <c r="Y229" s="46" t="str">
        <f>"0x"&amp;Y228&amp;", 0x"&amp;Z228&amp;", 0x"&amp;AA228&amp;", 0x"&amp;AB228&amp;", 0x"&amp;AC228&amp;", 0x"&amp;AD228&amp;", 0x"&amp;AE228&amp;", 0x"&amp;AF228</f>
        <v>0x0, 0x0, 0x0, 0x6C, 0xEC, 0x0, 0x0, 0x0</v>
      </c>
      <c r="Z229" s="47"/>
      <c r="AA229" s="47"/>
      <c r="AB229" s="47"/>
      <c r="AC229" s="47"/>
      <c r="AD229" s="47"/>
      <c r="AE229" s="47"/>
      <c r="AF229" s="48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</row>
    <row r="230" spans="1:64" x14ac:dyDescent="0.25">
      <c r="A230" s="11">
        <v>0</v>
      </c>
      <c r="B230" s="11">
        <v>0</v>
      </c>
      <c r="C230" s="11">
        <v>0</v>
      </c>
      <c r="D230" s="11">
        <v>1</v>
      </c>
      <c r="E230" s="11">
        <v>1</v>
      </c>
      <c r="F230" s="11">
        <v>0</v>
      </c>
      <c r="G230" s="11">
        <v>0</v>
      </c>
      <c r="H230" s="11">
        <v>0</v>
      </c>
      <c r="I230" s="46"/>
      <c r="J230" s="47"/>
      <c r="K230" s="47"/>
      <c r="L230" s="47"/>
      <c r="M230" s="47"/>
      <c r="N230" s="47"/>
      <c r="O230" s="47"/>
      <c r="P230" s="47"/>
      <c r="Q230" s="5">
        <v>0</v>
      </c>
      <c r="R230" s="2">
        <v>0</v>
      </c>
      <c r="S230" s="11">
        <v>0</v>
      </c>
      <c r="T230" s="11">
        <v>1</v>
      </c>
      <c r="U230" s="11">
        <v>1</v>
      </c>
      <c r="V230" s="11">
        <v>0</v>
      </c>
      <c r="W230" s="2">
        <v>0</v>
      </c>
      <c r="X230" s="2">
        <v>0</v>
      </c>
      <c r="Y230" s="46"/>
      <c r="Z230" s="47"/>
      <c r="AA230" s="47"/>
      <c r="AB230" s="47"/>
      <c r="AC230" s="47"/>
      <c r="AD230" s="47"/>
      <c r="AE230" s="47"/>
      <c r="AF230" s="48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</row>
    <row r="231" spans="1:64" x14ac:dyDescent="0.25">
      <c r="A231" s="11">
        <v>0</v>
      </c>
      <c r="B231" s="11">
        <v>0</v>
      </c>
      <c r="C231" s="11">
        <v>0</v>
      </c>
      <c r="D231" s="11">
        <v>1</v>
      </c>
      <c r="E231" s="11">
        <v>1</v>
      </c>
      <c r="F231" s="11">
        <v>0</v>
      </c>
      <c r="G231" s="11">
        <v>0</v>
      </c>
      <c r="H231" s="11">
        <v>0</v>
      </c>
      <c r="I231" s="51" t="s">
        <v>51</v>
      </c>
      <c r="J231" s="52"/>
      <c r="K231" s="52"/>
      <c r="L231" s="52"/>
      <c r="M231" s="52"/>
      <c r="N231" s="52"/>
      <c r="O231" s="52"/>
      <c r="P231" s="53"/>
      <c r="Q231" s="5">
        <v>0</v>
      </c>
      <c r="R231" s="2">
        <v>0</v>
      </c>
      <c r="S231" s="11">
        <v>0</v>
      </c>
      <c r="T231" s="11">
        <v>1</v>
      </c>
      <c r="U231" s="11">
        <v>1</v>
      </c>
      <c r="V231" s="11">
        <v>0</v>
      </c>
      <c r="W231" s="2">
        <v>0</v>
      </c>
      <c r="X231" s="2">
        <v>0</v>
      </c>
      <c r="Y231" s="51" t="s">
        <v>50</v>
      </c>
      <c r="Z231" s="52"/>
      <c r="AA231" s="52"/>
      <c r="AB231" s="52"/>
      <c r="AC231" s="52"/>
      <c r="AD231" s="52"/>
      <c r="AE231" s="52"/>
      <c r="AF231" s="53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</row>
    <row r="232" spans="1:64" ht="15" customHeight="1" x14ac:dyDescent="0.25">
      <c r="A232" s="11">
        <v>0</v>
      </c>
      <c r="B232" s="11">
        <v>0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33" t="str">
        <f>"{{"&amp;I229&amp;"}"&amp;", "&amp;$I$1&amp;"},  //"&amp;I231&amp;":"&amp;M227&amp;":"&amp;O227</f>
        <v>{{0x0, 0x0, 0x0, 0x6C, 0x6C, 0x0, 0x0, 0x0}, 8},  //::0:58</v>
      </c>
      <c r="J232" s="34"/>
      <c r="K232" s="34"/>
      <c r="L232" s="34"/>
      <c r="M232" s="34"/>
      <c r="N232" s="34"/>
      <c r="O232" s="34"/>
      <c r="P232" s="35"/>
      <c r="Q232" s="5">
        <v>0</v>
      </c>
      <c r="R232" s="2">
        <v>0</v>
      </c>
      <c r="S232" s="11">
        <v>0</v>
      </c>
      <c r="T232" s="11">
        <v>0</v>
      </c>
      <c r="U232" s="11">
        <v>0</v>
      </c>
      <c r="V232" s="11">
        <v>0</v>
      </c>
      <c r="W232" s="2">
        <v>0</v>
      </c>
      <c r="X232" s="2">
        <v>0</v>
      </c>
      <c r="Y232" s="33" t="str">
        <f>"{{"&amp;Y229&amp;"}"&amp;", "&amp;$I$1&amp;"},  //"&amp;Y231&amp;":"&amp;AC227&amp;":"&amp;AE227</f>
        <v>{{0x0, 0x0, 0x0, 0x6C, 0xEC, 0x0, 0x0, 0x0}, 8},  //;:0:59</v>
      </c>
      <c r="Z232" s="34"/>
      <c r="AA232" s="34"/>
      <c r="AB232" s="34"/>
      <c r="AC232" s="34"/>
      <c r="AD232" s="34"/>
      <c r="AE232" s="34"/>
      <c r="AF232" s="35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</row>
    <row r="233" spans="1:64" x14ac:dyDescent="0.25">
      <c r="A233" s="11">
        <v>0</v>
      </c>
      <c r="B233" s="11">
        <v>0</v>
      </c>
      <c r="C233" s="11">
        <v>0</v>
      </c>
      <c r="D233" s="11">
        <v>1</v>
      </c>
      <c r="E233" s="11">
        <v>1</v>
      </c>
      <c r="F233" s="11">
        <v>0</v>
      </c>
      <c r="G233" s="11">
        <v>0</v>
      </c>
      <c r="H233" s="11">
        <v>0</v>
      </c>
      <c r="I233" s="33"/>
      <c r="J233" s="34"/>
      <c r="K233" s="34"/>
      <c r="L233" s="34"/>
      <c r="M233" s="34"/>
      <c r="N233" s="34"/>
      <c r="O233" s="34"/>
      <c r="P233" s="35"/>
      <c r="Q233" s="5">
        <v>0</v>
      </c>
      <c r="R233" s="2">
        <v>0</v>
      </c>
      <c r="S233" s="11">
        <v>0</v>
      </c>
      <c r="T233" s="11">
        <v>1</v>
      </c>
      <c r="U233" s="11">
        <v>1</v>
      </c>
      <c r="V233" s="11">
        <v>0</v>
      </c>
      <c r="W233" s="2">
        <v>0</v>
      </c>
      <c r="X233" s="2">
        <v>0</v>
      </c>
      <c r="Y233" s="33"/>
      <c r="Z233" s="34"/>
      <c r="AA233" s="34"/>
      <c r="AB233" s="34"/>
      <c r="AC233" s="34"/>
      <c r="AD233" s="34"/>
      <c r="AE233" s="34"/>
      <c r="AF233" s="35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</row>
    <row r="234" spans="1:64" x14ac:dyDescent="0.25">
      <c r="A234" s="11">
        <v>0</v>
      </c>
      <c r="B234" s="11">
        <v>0</v>
      </c>
      <c r="C234" s="11">
        <v>0</v>
      </c>
      <c r="D234" s="11">
        <v>1</v>
      </c>
      <c r="E234" s="11">
        <v>1</v>
      </c>
      <c r="F234" s="11">
        <v>0</v>
      </c>
      <c r="G234" s="11">
        <v>0</v>
      </c>
      <c r="H234" s="11">
        <v>0</v>
      </c>
      <c r="Q234" s="5">
        <v>0</v>
      </c>
      <c r="R234" s="2">
        <v>0</v>
      </c>
      <c r="S234" s="11">
        <v>0</v>
      </c>
      <c r="T234" s="11">
        <v>1</v>
      </c>
      <c r="U234" s="11">
        <v>1</v>
      </c>
      <c r="V234" s="11">
        <v>0</v>
      </c>
      <c r="W234" s="2">
        <v>0</v>
      </c>
      <c r="X234" s="2">
        <v>0</v>
      </c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</row>
    <row r="235" spans="1:64" x14ac:dyDescent="0.25">
      <c r="A235" s="11">
        <v>0</v>
      </c>
      <c r="B235" s="11">
        <v>0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Q235" s="1">
        <v>0</v>
      </c>
      <c r="R235" s="2">
        <v>0</v>
      </c>
      <c r="S235" s="11">
        <v>0</v>
      </c>
      <c r="T235" s="11">
        <v>0</v>
      </c>
      <c r="U235" s="11">
        <v>1</v>
      </c>
      <c r="V235" s="11">
        <v>0</v>
      </c>
      <c r="W235" s="1">
        <v>0</v>
      </c>
      <c r="X235" s="1">
        <v>0</v>
      </c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</row>
    <row r="236" spans="1:64" x14ac:dyDescent="0.25">
      <c r="A236" s="7">
        <v>1</v>
      </c>
      <c r="B236" s="7">
        <v>2</v>
      </c>
      <c r="C236" s="7">
        <v>3</v>
      </c>
      <c r="D236" s="7">
        <v>4</v>
      </c>
      <c r="E236" s="7">
        <v>5</v>
      </c>
      <c r="F236" s="7">
        <v>6</v>
      </c>
      <c r="G236" s="7">
        <v>7</v>
      </c>
      <c r="H236" s="7">
        <v>8</v>
      </c>
      <c r="I236" s="50" t="s">
        <v>0</v>
      </c>
      <c r="J236" s="50"/>
      <c r="K236" s="50"/>
      <c r="L236" s="50"/>
      <c r="M236" s="49">
        <v>0</v>
      </c>
      <c r="N236" s="49"/>
      <c r="O236" s="49">
        <v>60</v>
      </c>
      <c r="P236" s="49"/>
      <c r="Q236" s="7">
        <v>1</v>
      </c>
      <c r="R236" s="7">
        <v>2</v>
      </c>
      <c r="S236" s="7">
        <v>3</v>
      </c>
      <c r="T236" s="7">
        <v>4</v>
      </c>
      <c r="U236" s="7">
        <v>5</v>
      </c>
      <c r="V236" s="7">
        <v>6</v>
      </c>
      <c r="W236" s="7">
        <v>7</v>
      </c>
      <c r="X236" s="7">
        <v>8</v>
      </c>
      <c r="Y236" s="50" t="s">
        <v>0</v>
      </c>
      <c r="Z236" s="50"/>
      <c r="AA236" s="50"/>
      <c r="AB236" s="50"/>
      <c r="AC236" s="49">
        <v>0</v>
      </c>
      <c r="AD236" s="49"/>
      <c r="AE236" s="49">
        <v>61</v>
      </c>
      <c r="AF236" s="49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</row>
    <row r="237" spans="1:64" x14ac:dyDescent="0.25">
      <c r="A237" s="11">
        <v>0</v>
      </c>
      <c r="B237" s="11">
        <v>0</v>
      </c>
      <c r="C237" s="11">
        <v>0</v>
      </c>
      <c r="D237" s="11">
        <v>0</v>
      </c>
      <c r="E237" s="11">
        <v>0</v>
      </c>
      <c r="F237" s="11">
        <v>1</v>
      </c>
      <c r="G237" s="11">
        <v>0</v>
      </c>
      <c r="H237" s="11">
        <v>0</v>
      </c>
      <c r="I237" s="4" t="str">
        <f>BIN2HEX(A244&amp;A243&amp;A242&amp;A241&amp;A240&amp;A239&amp;A238&amp;A237)</f>
        <v>0</v>
      </c>
      <c r="J237" s="4" t="str">
        <f t="shared" ref="J237" si="516">BIN2HEX(B244&amp;B243&amp;B242&amp;B241&amp;B240&amp;B239&amp;B238&amp;B237)</f>
        <v>0</v>
      </c>
      <c r="K237" s="4" t="str">
        <f t="shared" ref="K237" si="517">BIN2HEX(C244&amp;C243&amp;C242&amp;C241&amp;C240&amp;C239&amp;C238&amp;C237)</f>
        <v>8</v>
      </c>
      <c r="L237" s="4" t="str">
        <f t="shared" ref="L237" si="518">BIN2HEX(D244&amp;D243&amp;D242&amp;D241&amp;D240&amp;D239&amp;D238&amp;D237)</f>
        <v>14</v>
      </c>
      <c r="M237" s="4" t="str">
        <f t="shared" ref="M237" si="519">BIN2HEX(E244&amp;E243&amp;E242&amp;E241&amp;E240&amp;E239&amp;E238&amp;E237)</f>
        <v>22</v>
      </c>
      <c r="N237" s="4" t="str">
        <f t="shared" ref="N237" si="520">BIN2HEX(F244&amp;F243&amp;F242&amp;F241&amp;F240&amp;F239&amp;F238&amp;F237)</f>
        <v>41</v>
      </c>
      <c r="O237" s="4" t="str">
        <f t="shared" ref="O237" si="521">BIN2HEX(G244&amp;G243&amp;G242&amp;G241&amp;G240&amp;G239&amp;G238&amp;G237)</f>
        <v>0</v>
      </c>
      <c r="P237" s="4" t="str">
        <f>BIN2HEX(H244&amp;H243&amp;H242&amp;H241&amp;H240&amp;H239&amp;H238&amp;H237)</f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4" t="str">
        <f>BIN2HEX(Q244&amp;Q243&amp;Q242&amp;Q241&amp;Q240&amp;Q239&amp;Q238&amp;Q237)</f>
        <v>0</v>
      </c>
      <c r="Z237" s="4" t="str">
        <f t="shared" ref="Z237" si="522">BIN2HEX(R244&amp;R243&amp;R242&amp;R241&amp;R240&amp;R239&amp;R238&amp;R237)</f>
        <v>0</v>
      </c>
      <c r="AA237" s="4" t="str">
        <f t="shared" ref="AA237" si="523">BIN2HEX(S244&amp;S243&amp;S242&amp;S241&amp;S240&amp;S239&amp;S238&amp;S237)</f>
        <v>14</v>
      </c>
      <c r="AB237" s="4" t="str">
        <f t="shared" ref="AB237" si="524">BIN2HEX(T244&amp;T243&amp;T242&amp;T241&amp;T240&amp;T239&amp;T238&amp;T237)</f>
        <v>14</v>
      </c>
      <c r="AC237" s="4" t="str">
        <f t="shared" ref="AC237" si="525">BIN2HEX(U244&amp;U243&amp;U242&amp;U241&amp;U240&amp;U239&amp;U238&amp;U237)</f>
        <v>14</v>
      </c>
      <c r="AD237" s="4" t="str">
        <f t="shared" ref="AD237" si="526">BIN2HEX(V244&amp;V243&amp;V242&amp;V241&amp;V240&amp;V239&amp;V238&amp;V237)</f>
        <v>14</v>
      </c>
      <c r="AE237" s="4" t="str">
        <f t="shared" ref="AE237" si="527">BIN2HEX(W244&amp;W243&amp;W242&amp;W241&amp;W240&amp;W239&amp;W238&amp;W237)</f>
        <v>0</v>
      </c>
      <c r="AF237" s="3" t="str">
        <f>BIN2HEX(X244&amp;X243&amp;X242&amp;X241&amp;X240&amp;X239&amp;X238&amp;X237)</f>
        <v>0</v>
      </c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</row>
    <row r="238" spans="1:64" x14ac:dyDescent="0.25">
      <c r="A238" s="11">
        <v>0</v>
      </c>
      <c r="B238" s="11">
        <v>0</v>
      </c>
      <c r="C238" s="11">
        <v>0</v>
      </c>
      <c r="D238" s="11">
        <v>0</v>
      </c>
      <c r="E238" s="11">
        <v>1</v>
      </c>
      <c r="F238" s="11">
        <v>0</v>
      </c>
      <c r="G238" s="11">
        <v>0</v>
      </c>
      <c r="H238" s="11">
        <v>0</v>
      </c>
      <c r="I238" s="46" t="str">
        <f>"0x"&amp;I237&amp;", 0x"&amp;J237&amp;", 0x"&amp;K237&amp;", 0x"&amp;L237&amp;", 0x"&amp;M237&amp;", 0x"&amp;N237&amp;", 0x"&amp;O237&amp;", 0x"&amp;P237</f>
        <v>0x0, 0x0, 0x8, 0x14, 0x22, 0x41, 0x0, 0x0</v>
      </c>
      <c r="J238" s="47"/>
      <c r="K238" s="47"/>
      <c r="L238" s="47"/>
      <c r="M238" s="47"/>
      <c r="N238" s="47"/>
      <c r="O238" s="47"/>
      <c r="P238" s="47"/>
      <c r="Q238" s="5">
        <v>0</v>
      </c>
      <c r="R238" s="2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2">
        <v>0</v>
      </c>
      <c r="Y238" s="46" t="str">
        <f>"0x"&amp;Y237&amp;", 0x"&amp;Z237&amp;", 0x"&amp;AA237&amp;", 0x"&amp;AB237&amp;", 0x"&amp;AC237&amp;", 0x"&amp;AD237&amp;", 0x"&amp;AE237&amp;", 0x"&amp;AF237</f>
        <v>0x0, 0x0, 0x14, 0x14, 0x14, 0x14, 0x0, 0x0</v>
      </c>
      <c r="Z238" s="47"/>
      <c r="AA238" s="47"/>
      <c r="AB238" s="47"/>
      <c r="AC238" s="47"/>
      <c r="AD238" s="47"/>
      <c r="AE238" s="47"/>
      <c r="AF238" s="48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</row>
    <row r="239" spans="1:64" x14ac:dyDescent="0.25">
      <c r="A239" s="11">
        <v>0</v>
      </c>
      <c r="B239" s="11">
        <v>0</v>
      </c>
      <c r="C239" s="11">
        <v>0</v>
      </c>
      <c r="D239" s="11">
        <v>1</v>
      </c>
      <c r="E239" s="11">
        <v>0</v>
      </c>
      <c r="F239" s="11">
        <v>0</v>
      </c>
      <c r="G239" s="11">
        <v>0</v>
      </c>
      <c r="H239" s="11">
        <v>0</v>
      </c>
      <c r="I239" s="46"/>
      <c r="J239" s="47"/>
      <c r="K239" s="47"/>
      <c r="L239" s="47"/>
      <c r="M239" s="47"/>
      <c r="N239" s="47"/>
      <c r="O239" s="47"/>
      <c r="P239" s="47"/>
      <c r="Q239" s="5">
        <v>0</v>
      </c>
      <c r="R239" s="2">
        <v>0</v>
      </c>
      <c r="S239" s="11">
        <v>1</v>
      </c>
      <c r="T239" s="11">
        <v>1</v>
      </c>
      <c r="U239" s="11">
        <v>1</v>
      </c>
      <c r="V239" s="11">
        <v>1</v>
      </c>
      <c r="W239" s="11">
        <v>0</v>
      </c>
      <c r="X239" s="2">
        <v>0</v>
      </c>
      <c r="Y239" s="46"/>
      <c r="Z239" s="47"/>
      <c r="AA239" s="47"/>
      <c r="AB239" s="47"/>
      <c r="AC239" s="47"/>
      <c r="AD239" s="47"/>
      <c r="AE239" s="47"/>
      <c r="AF239" s="48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</row>
    <row r="240" spans="1:64" x14ac:dyDescent="0.25">
      <c r="A240" s="11">
        <v>0</v>
      </c>
      <c r="B240" s="11">
        <v>0</v>
      </c>
      <c r="C240" s="11">
        <v>1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51" t="s">
        <v>49</v>
      </c>
      <c r="J240" s="52"/>
      <c r="K240" s="52"/>
      <c r="L240" s="52"/>
      <c r="M240" s="52"/>
      <c r="N240" s="52"/>
      <c r="O240" s="52"/>
      <c r="P240" s="53"/>
      <c r="Q240" s="5">
        <v>0</v>
      </c>
      <c r="R240" s="2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2">
        <v>0</v>
      </c>
      <c r="Y240" s="51" t="s">
        <v>52</v>
      </c>
      <c r="Z240" s="52"/>
      <c r="AA240" s="52"/>
      <c r="AB240" s="52"/>
      <c r="AC240" s="52"/>
      <c r="AD240" s="52"/>
      <c r="AE240" s="52"/>
      <c r="AF240" s="53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</row>
    <row r="241" spans="1:64" ht="15" customHeight="1" x14ac:dyDescent="0.25">
      <c r="A241" s="11">
        <v>0</v>
      </c>
      <c r="B241" s="11">
        <v>0</v>
      </c>
      <c r="C241" s="11">
        <v>0</v>
      </c>
      <c r="D241" s="11">
        <v>1</v>
      </c>
      <c r="E241" s="11">
        <v>0</v>
      </c>
      <c r="F241" s="11">
        <v>0</v>
      </c>
      <c r="G241" s="11">
        <v>0</v>
      </c>
      <c r="H241" s="11">
        <v>0</v>
      </c>
      <c r="I241" s="33" t="str">
        <f>"{{"&amp;I238&amp;"}"&amp;", "&amp;$I$1&amp;"},  //"&amp;I240&amp;":"&amp;M236&amp;":"&amp;O236</f>
        <v>{{0x0, 0x0, 0x8, 0x14, 0x22, 0x41, 0x0, 0x0}, 8},  //&gt;:0:60</v>
      </c>
      <c r="J241" s="34"/>
      <c r="K241" s="34"/>
      <c r="L241" s="34"/>
      <c r="M241" s="34"/>
      <c r="N241" s="34"/>
      <c r="O241" s="34"/>
      <c r="P241" s="35"/>
      <c r="Q241" s="5">
        <v>0</v>
      </c>
      <c r="R241" s="2">
        <v>0</v>
      </c>
      <c r="S241" s="11">
        <v>1</v>
      </c>
      <c r="T241" s="11">
        <v>1</v>
      </c>
      <c r="U241" s="11">
        <v>1</v>
      </c>
      <c r="V241" s="11">
        <v>1</v>
      </c>
      <c r="W241" s="11">
        <v>0</v>
      </c>
      <c r="X241" s="2">
        <v>0</v>
      </c>
      <c r="Y241" s="33" t="str">
        <f>"{{"&amp;Y238&amp;"}"&amp;", "&amp;$I$1&amp;"},  //"&amp;Y240&amp;":"&amp;AC236&amp;":"&amp;AE236</f>
        <v>{{0x0, 0x0, 0x14, 0x14, 0x14, 0x14, 0x0, 0x0}, 8},  //=:0:61</v>
      </c>
      <c r="Z241" s="34"/>
      <c r="AA241" s="34"/>
      <c r="AB241" s="34"/>
      <c r="AC241" s="34"/>
      <c r="AD241" s="34"/>
      <c r="AE241" s="34"/>
      <c r="AF241" s="35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</row>
    <row r="242" spans="1:64" x14ac:dyDescent="0.25">
      <c r="A242" s="11">
        <v>0</v>
      </c>
      <c r="B242" s="11">
        <v>0</v>
      </c>
      <c r="C242" s="11">
        <v>0</v>
      </c>
      <c r="D242" s="11">
        <v>0</v>
      </c>
      <c r="E242" s="11">
        <v>1</v>
      </c>
      <c r="F242" s="11">
        <v>0</v>
      </c>
      <c r="G242" s="11">
        <v>0</v>
      </c>
      <c r="H242" s="11">
        <v>0</v>
      </c>
      <c r="I242" s="33"/>
      <c r="J242" s="34"/>
      <c r="K242" s="34"/>
      <c r="L242" s="34"/>
      <c r="M242" s="34"/>
      <c r="N242" s="34"/>
      <c r="O242" s="34"/>
      <c r="P242" s="35"/>
      <c r="Q242" s="5">
        <v>0</v>
      </c>
      <c r="R242" s="2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2">
        <v>0</v>
      </c>
      <c r="Y242" s="33"/>
      <c r="Z242" s="34"/>
      <c r="AA242" s="34"/>
      <c r="AB242" s="34"/>
      <c r="AC242" s="34"/>
      <c r="AD242" s="34"/>
      <c r="AE242" s="34"/>
      <c r="AF242" s="35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</row>
    <row r="243" spans="1:64" x14ac:dyDescent="0.25">
      <c r="A243" s="11">
        <v>0</v>
      </c>
      <c r="B243" s="11">
        <v>0</v>
      </c>
      <c r="C243" s="11">
        <v>0</v>
      </c>
      <c r="D243" s="11">
        <v>0</v>
      </c>
      <c r="E243" s="11">
        <v>0</v>
      </c>
      <c r="F243" s="11">
        <v>1</v>
      </c>
      <c r="G243" s="11">
        <v>0</v>
      </c>
      <c r="H243" s="11">
        <v>0</v>
      </c>
      <c r="Q243" s="5">
        <v>0</v>
      </c>
      <c r="R243" s="2">
        <v>0</v>
      </c>
      <c r="S243" s="11">
        <v>0</v>
      </c>
      <c r="T243" s="11">
        <v>0</v>
      </c>
      <c r="U243" s="11">
        <v>0</v>
      </c>
      <c r="V243" s="11">
        <v>0</v>
      </c>
      <c r="W243" s="2">
        <v>0</v>
      </c>
      <c r="X243" s="2">
        <v>0</v>
      </c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</row>
    <row r="244" spans="1:64" x14ac:dyDescent="0.25">
      <c r="A244" s="11">
        <v>0</v>
      </c>
      <c r="B244" s="11">
        <v>0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Q244" s="1">
        <v>0</v>
      </c>
      <c r="R244" s="2">
        <v>0</v>
      </c>
      <c r="S244" s="11">
        <v>0</v>
      </c>
      <c r="T244" s="11">
        <v>0</v>
      </c>
      <c r="U244" s="11">
        <v>0</v>
      </c>
      <c r="V244" s="11">
        <v>0</v>
      </c>
      <c r="W244" s="1">
        <v>0</v>
      </c>
      <c r="X244" s="1">
        <v>0</v>
      </c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</row>
    <row r="245" spans="1:64" x14ac:dyDescent="0.25">
      <c r="A245" s="7">
        <v>1</v>
      </c>
      <c r="B245" s="7">
        <v>2</v>
      </c>
      <c r="C245" s="7">
        <v>3</v>
      </c>
      <c r="D245" s="7">
        <v>4</v>
      </c>
      <c r="E245" s="7">
        <v>5</v>
      </c>
      <c r="F245" s="7">
        <v>6</v>
      </c>
      <c r="G245" s="7">
        <v>7</v>
      </c>
      <c r="H245" s="7">
        <v>8</v>
      </c>
      <c r="I245" s="50" t="s">
        <v>0</v>
      </c>
      <c r="J245" s="50"/>
      <c r="K245" s="50"/>
      <c r="L245" s="50"/>
      <c r="M245" s="49">
        <v>0</v>
      </c>
      <c r="N245" s="49"/>
      <c r="O245" s="49">
        <v>62</v>
      </c>
      <c r="P245" s="49"/>
      <c r="Q245" s="7">
        <v>1</v>
      </c>
      <c r="R245" s="7">
        <v>2</v>
      </c>
      <c r="S245" s="7">
        <v>3</v>
      </c>
      <c r="T245" s="7">
        <v>4</v>
      </c>
      <c r="U245" s="7">
        <v>5</v>
      </c>
      <c r="V245" s="7">
        <v>6</v>
      </c>
      <c r="W245" s="7">
        <v>7</v>
      </c>
      <c r="X245" s="7">
        <v>8</v>
      </c>
      <c r="Y245" s="50" t="s">
        <v>0</v>
      </c>
      <c r="Z245" s="50"/>
      <c r="AA245" s="50"/>
      <c r="AB245" s="50"/>
      <c r="AC245" s="49">
        <v>0</v>
      </c>
      <c r="AD245" s="49"/>
      <c r="AE245" s="49">
        <v>63</v>
      </c>
      <c r="AF245" s="49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</row>
    <row r="246" spans="1:64" x14ac:dyDescent="0.25">
      <c r="A246" s="2">
        <v>0</v>
      </c>
      <c r="B246" s="2">
        <v>0</v>
      </c>
      <c r="C246" s="2">
        <v>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4" t="str">
        <f>BIN2HEX(A253&amp;A252&amp;A251&amp;A250&amp;A249&amp;A248&amp;A247&amp;A246)</f>
        <v>0</v>
      </c>
      <c r="J246" s="4" t="str">
        <f t="shared" ref="J246" si="528">BIN2HEX(B253&amp;B252&amp;B251&amp;B250&amp;B249&amp;B248&amp;B247&amp;B246)</f>
        <v>0</v>
      </c>
      <c r="K246" s="4" t="str">
        <f t="shared" ref="K246" si="529">BIN2HEX(C253&amp;C252&amp;C251&amp;C250&amp;C249&amp;C248&amp;C247&amp;C246)</f>
        <v>41</v>
      </c>
      <c r="L246" s="4" t="str">
        <f t="shared" ref="L246" si="530">BIN2HEX(D253&amp;D252&amp;D251&amp;D250&amp;D249&amp;D248&amp;D247&amp;D246)</f>
        <v>22</v>
      </c>
      <c r="M246" s="4" t="str">
        <f t="shared" ref="M246" si="531">BIN2HEX(E253&amp;E252&amp;E251&amp;E250&amp;E249&amp;E248&amp;E247&amp;E246)</f>
        <v>14</v>
      </c>
      <c r="N246" s="4" t="str">
        <f t="shared" ref="N246" si="532">BIN2HEX(F253&amp;F252&amp;F251&amp;F250&amp;F249&amp;F248&amp;F247&amp;F246)</f>
        <v>8</v>
      </c>
      <c r="O246" s="4" t="str">
        <f t="shared" ref="O246" si="533">BIN2HEX(G253&amp;G252&amp;G251&amp;G250&amp;G249&amp;G248&amp;G247&amp;G246)</f>
        <v>0</v>
      </c>
      <c r="P246" s="3" t="str">
        <f>BIN2HEX(H253&amp;H252&amp;H251&amp;H250&amp;H249&amp;H248&amp;H247&amp;H246)</f>
        <v>0</v>
      </c>
      <c r="Q246" s="2">
        <v>0</v>
      </c>
      <c r="R246" s="2">
        <v>0</v>
      </c>
      <c r="S246" s="2">
        <v>0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4" t="str">
        <f>BIN2HEX(Q253&amp;Q252&amp;Q251&amp;Q250&amp;Q249&amp;Q248&amp;Q247&amp;Q246)</f>
        <v>0</v>
      </c>
      <c r="Z246" s="4" t="str">
        <f t="shared" ref="Z246" si="534">BIN2HEX(R253&amp;R252&amp;R251&amp;R250&amp;R249&amp;R248&amp;R247&amp;R246)</f>
        <v>0</v>
      </c>
      <c r="AA246" s="4" t="str">
        <f t="shared" ref="AA246" si="535">BIN2HEX(S253&amp;S252&amp;S251&amp;S250&amp;S249&amp;S248&amp;S247&amp;S246)</f>
        <v>2</v>
      </c>
      <c r="AB246" s="4" t="str">
        <f t="shared" ref="AB246" si="536">BIN2HEX(T253&amp;T252&amp;T251&amp;T250&amp;T249&amp;T248&amp;T247&amp;T246)</f>
        <v>51</v>
      </c>
      <c r="AC246" s="4" t="str">
        <f t="shared" ref="AC246" si="537">BIN2HEX(U253&amp;U252&amp;U251&amp;U250&amp;U249&amp;U248&amp;U247&amp;U246)</f>
        <v>9</v>
      </c>
      <c r="AD246" s="4" t="str">
        <f t="shared" ref="AD246" si="538">BIN2HEX(V253&amp;V252&amp;V251&amp;V250&amp;V249&amp;V248&amp;V247&amp;V246)</f>
        <v>6</v>
      </c>
      <c r="AE246" s="4" t="str">
        <f t="shared" ref="AE246" si="539">BIN2HEX(W253&amp;W252&amp;W251&amp;W250&amp;W249&amp;W248&amp;W247&amp;W246)</f>
        <v>0</v>
      </c>
      <c r="AF246" s="3" t="str">
        <f>BIN2HEX(X253&amp;X252&amp;X251&amp;X250&amp;X249&amp;X248&amp;X247&amp;X246)</f>
        <v>0</v>
      </c>
    </row>
    <row r="247" spans="1:64" x14ac:dyDescent="0.25">
      <c r="A247" s="5">
        <v>0</v>
      </c>
      <c r="B247" s="2">
        <v>0</v>
      </c>
      <c r="C247" s="11">
        <v>0</v>
      </c>
      <c r="D247" s="11">
        <v>1</v>
      </c>
      <c r="E247" s="11">
        <v>0</v>
      </c>
      <c r="F247" s="11">
        <v>0</v>
      </c>
      <c r="G247" s="2">
        <v>0</v>
      </c>
      <c r="H247" s="2">
        <v>0</v>
      </c>
      <c r="I247" s="46" t="str">
        <f>"0x"&amp;I246&amp;", 0x"&amp;J246&amp;", 0x"&amp;K246&amp;", 0x"&amp;L246&amp;", 0x"&amp;M246&amp;", 0x"&amp;N246&amp;", 0x"&amp;O246&amp;", 0x"&amp;P246</f>
        <v>0x0, 0x0, 0x41, 0x22, 0x14, 0x8, 0x0, 0x0</v>
      </c>
      <c r="J247" s="47"/>
      <c r="K247" s="47"/>
      <c r="L247" s="47"/>
      <c r="M247" s="47"/>
      <c r="N247" s="47"/>
      <c r="O247" s="47"/>
      <c r="P247" s="48"/>
      <c r="Q247" s="5">
        <v>0</v>
      </c>
      <c r="R247" s="2">
        <v>0</v>
      </c>
      <c r="S247" s="2">
        <v>1</v>
      </c>
      <c r="T247" s="2">
        <v>0</v>
      </c>
      <c r="U247" s="2">
        <v>0</v>
      </c>
      <c r="V247" s="2">
        <v>1</v>
      </c>
      <c r="W247" s="2">
        <v>0</v>
      </c>
      <c r="X247" s="2">
        <v>0</v>
      </c>
      <c r="Y247" s="46" t="str">
        <f>"0x"&amp;Y246&amp;", 0x"&amp;Z246&amp;", 0x"&amp;AA246&amp;", 0x"&amp;AB246&amp;", 0x"&amp;AC246&amp;", 0x"&amp;AD246&amp;", 0x"&amp;AE246&amp;", 0x"&amp;AF246</f>
        <v>0x0, 0x0, 0x2, 0x51, 0x9, 0x6, 0x0, 0x0</v>
      </c>
      <c r="Z247" s="47"/>
      <c r="AA247" s="47"/>
      <c r="AB247" s="47"/>
      <c r="AC247" s="47"/>
      <c r="AD247" s="47"/>
      <c r="AE247" s="47"/>
      <c r="AF247" s="48"/>
    </row>
    <row r="248" spans="1:64" x14ac:dyDescent="0.25">
      <c r="A248" s="5">
        <v>0</v>
      </c>
      <c r="B248" s="2">
        <v>0</v>
      </c>
      <c r="C248" s="11">
        <v>0</v>
      </c>
      <c r="D248" s="11">
        <v>0</v>
      </c>
      <c r="E248" s="11">
        <v>1</v>
      </c>
      <c r="F248" s="11">
        <v>0</v>
      </c>
      <c r="G248" s="2">
        <v>0</v>
      </c>
      <c r="H248" s="2">
        <v>0</v>
      </c>
      <c r="I248" s="46"/>
      <c r="J248" s="47"/>
      <c r="K248" s="47"/>
      <c r="L248" s="47"/>
      <c r="M248" s="47"/>
      <c r="N248" s="47"/>
      <c r="O248" s="47"/>
      <c r="P248" s="48"/>
      <c r="Q248" s="5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</v>
      </c>
      <c r="W248" s="2">
        <v>0</v>
      </c>
      <c r="X248" s="2">
        <v>0</v>
      </c>
      <c r="Y248" s="46"/>
      <c r="Z248" s="47"/>
      <c r="AA248" s="47"/>
      <c r="AB248" s="47"/>
      <c r="AC248" s="47"/>
      <c r="AD248" s="47"/>
      <c r="AE248" s="47"/>
      <c r="AF248" s="48"/>
    </row>
    <row r="249" spans="1:64" x14ac:dyDescent="0.25">
      <c r="A249" s="5">
        <v>0</v>
      </c>
      <c r="B249" s="2">
        <v>0</v>
      </c>
      <c r="C249" s="11">
        <v>0</v>
      </c>
      <c r="D249" s="11">
        <v>0</v>
      </c>
      <c r="E249" s="11">
        <v>0</v>
      </c>
      <c r="F249" s="11">
        <v>1</v>
      </c>
      <c r="G249" s="2">
        <v>0</v>
      </c>
      <c r="H249" s="2">
        <v>0</v>
      </c>
      <c r="I249" s="51">
        <v>1</v>
      </c>
      <c r="J249" s="52"/>
      <c r="K249" s="52"/>
      <c r="L249" s="52"/>
      <c r="M249" s="52"/>
      <c r="N249" s="52"/>
      <c r="O249" s="52"/>
      <c r="P249" s="53"/>
      <c r="Q249" s="5">
        <v>0</v>
      </c>
      <c r="R249" s="2">
        <v>0</v>
      </c>
      <c r="S249" s="5">
        <v>0</v>
      </c>
      <c r="T249" s="5">
        <v>0</v>
      </c>
      <c r="U249" s="5">
        <v>1</v>
      </c>
      <c r="V249" s="5">
        <v>0</v>
      </c>
      <c r="W249" s="5">
        <v>0</v>
      </c>
      <c r="X249" s="5">
        <v>0</v>
      </c>
      <c r="Y249" s="51" t="s">
        <v>53</v>
      </c>
      <c r="Z249" s="52"/>
      <c r="AA249" s="52"/>
      <c r="AB249" s="52"/>
      <c r="AC249" s="52"/>
      <c r="AD249" s="52"/>
      <c r="AE249" s="52"/>
      <c r="AF249" s="53"/>
    </row>
    <row r="250" spans="1:64" ht="15" customHeight="1" x14ac:dyDescent="0.25">
      <c r="A250" s="5">
        <v>0</v>
      </c>
      <c r="B250" s="2">
        <v>0</v>
      </c>
      <c r="C250" s="11">
        <v>0</v>
      </c>
      <c r="D250" s="11">
        <v>0</v>
      </c>
      <c r="E250" s="11">
        <v>1</v>
      </c>
      <c r="F250" s="11">
        <v>0</v>
      </c>
      <c r="G250" s="2">
        <v>0</v>
      </c>
      <c r="H250" s="2">
        <v>0</v>
      </c>
      <c r="I250" s="33" t="str">
        <f>"{{"&amp;I247&amp;"}"&amp;", "&amp;$I$1&amp;"},  //"&amp;I249&amp;":"&amp;M245&amp;":"&amp;O245</f>
        <v>{{0x0, 0x0, 0x41, 0x22, 0x14, 0x8, 0x0, 0x0}, 8},  //1:0:62</v>
      </c>
      <c r="J250" s="34"/>
      <c r="K250" s="34"/>
      <c r="L250" s="34"/>
      <c r="M250" s="34"/>
      <c r="N250" s="34"/>
      <c r="O250" s="34"/>
      <c r="P250" s="35"/>
      <c r="Q250" s="5">
        <v>0</v>
      </c>
      <c r="R250" s="2">
        <v>0</v>
      </c>
      <c r="S250" s="5">
        <v>0</v>
      </c>
      <c r="T250" s="5">
        <v>1</v>
      </c>
      <c r="U250" s="5">
        <v>0</v>
      </c>
      <c r="V250" s="5">
        <v>0</v>
      </c>
      <c r="W250" s="5">
        <v>0</v>
      </c>
      <c r="X250" s="5">
        <v>0</v>
      </c>
      <c r="Y250" s="33" t="str">
        <f>"{{"&amp;Y247&amp;"}"&amp;", "&amp;$I$1&amp;"},  //"&amp;Y249&amp;":"&amp;AC245&amp;":"&amp;AE245</f>
        <v>{{0x0, 0x0, 0x2, 0x51, 0x9, 0x6, 0x0, 0x0}, 8},  //?:0:63</v>
      </c>
      <c r="Z250" s="34"/>
      <c r="AA250" s="34"/>
      <c r="AB250" s="34"/>
      <c r="AC250" s="34"/>
      <c r="AD250" s="34"/>
      <c r="AE250" s="34"/>
      <c r="AF250" s="35"/>
    </row>
    <row r="251" spans="1:64" x14ac:dyDescent="0.25">
      <c r="A251" s="5">
        <v>0</v>
      </c>
      <c r="B251" s="2">
        <v>0</v>
      </c>
      <c r="C251" s="11">
        <v>0</v>
      </c>
      <c r="D251" s="11">
        <v>1</v>
      </c>
      <c r="E251" s="11">
        <v>0</v>
      </c>
      <c r="F251" s="11">
        <v>0</v>
      </c>
      <c r="G251" s="2">
        <v>0</v>
      </c>
      <c r="H251" s="2">
        <v>0</v>
      </c>
      <c r="I251" s="33"/>
      <c r="J251" s="34"/>
      <c r="K251" s="34"/>
      <c r="L251" s="34"/>
      <c r="M251" s="34"/>
      <c r="N251" s="34"/>
      <c r="O251" s="34"/>
      <c r="P251" s="35"/>
      <c r="Q251" s="5">
        <v>0</v>
      </c>
      <c r="R251" s="2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33"/>
      <c r="Z251" s="34"/>
      <c r="AA251" s="34"/>
      <c r="AB251" s="34"/>
      <c r="AC251" s="34"/>
      <c r="AD251" s="34"/>
      <c r="AE251" s="34"/>
      <c r="AF251" s="35"/>
    </row>
    <row r="252" spans="1:64" x14ac:dyDescent="0.25">
      <c r="A252" s="5">
        <v>0</v>
      </c>
      <c r="B252" s="2">
        <v>0</v>
      </c>
      <c r="C252" s="11">
        <v>1</v>
      </c>
      <c r="D252" s="11">
        <v>0</v>
      </c>
      <c r="E252" s="11">
        <v>0</v>
      </c>
      <c r="F252" s="11">
        <v>0</v>
      </c>
      <c r="G252" s="2">
        <v>0</v>
      </c>
      <c r="H252" s="2">
        <v>0</v>
      </c>
      <c r="P252" s="3"/>
      <c r="Q252" s="5">
        <v>0</v>
      </c>
      <c r="R252" s="2">
        <v>0</v>
      </c>
      <c r="S252" s="5">
        <v>0</v>
      </c>
      <c r="T252" s="5">
        <v>1</v>
      </c>
      <c r="U252" s="5">
        <v>0</v>
      </c>
      <c r="V252" s="5">
        <v>0</v>
      </c>
      <c r="W252" s="5">
        <v>0</v>
      </c>
      <c r="X252" s="5">
        <v>0</v>
      </c>
    </row>
    <row r="253" spans="1:64" x14ac:dyDescent="0.25">
      <c r="A253" s="1">
        <v>0</v>
      </c>
      <c r="B253" s="2">
        <v>0</v>
      </c>
      <c r="C253" s="11">
        <v>0</v>
      </c>
      <c r="D253" s="11">
        <v>0</v>
      </c>
      <c r="E253" s="11">
        <v>0</v>
      </c>
      <c r="F253" s="11">
        <v>0</v>
      </c>
      <c r="G253" s="1">
        <v>0</v>
      </c>
      <c r="H253" s="1">
        <v>0</v>
      </c>
      <c r="P253" s="3"/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</row>
    <row r="254" spans="1:64" x14ac:dyDescent="0.25">
      <c r="A254" s="7">
        <v>1</v>
      </c>
      <c r="B254" s="7">
        <v>2</v>
      </c>
      <c r="C254" s="7">
        <v>3</v>
      </c>
      <c r="D254" s="7">
        <v>4</v>
      </c>
      <c r="E254" s="7">
        <v>5</v>
      </c>
      <c r="F254" s="7">
        <v>6</v>
      </c>
      <c r="G254" s="7">
        <v>7</v>
      </c>
      <c r="H254" s="7">
        <v>8</v>
      </c>
      <c r="I254" s="50" t="s">
        <v>0</v>
      </c>
      <c r="J254" s="50"/>
      <c r="K254" s="50"/>
      <c r="L254" s="50"/>
      <c r="M254" s="49">
        <v>0</v>
      </c>
      <c r="N254" s="49"/>
      <c r="O254" s="49">
        <v>64</v>
      </c>
      <c r="P254" s="49"/>
    </row>
    <row r="255" spans="1:64" x14ac:dyDescent="0.25">
      <c r="A255" s="2">
        <v>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4" t="str">
        <f>BIN2HEX(A262&amp;A261&amp;A260&amp;A259&amp;A258&amp;A257&amp;A256&amp;A255)</f>
        <v>0</v>
      </c>
      <c r="J255" s="4" t="str">
        <f t="shared" ref="J255" si="540">BIN2HEX(B262&amp;B261&amp;B260&amp;B259&amp;B258&amp;B257&amp;B256&amp;B255)</f>
        <v>0</v>
      </c>
      <c r="K255" s="4" t="str">
        <f t="shared" ref="K255" si="541">BIN2HEX(C262&amp;C261&amp;C260&amp;C259&amp;C258&amp;C257&amp;C256&amp;C255)</f>
        <v>0</v>
      </c>
      <c r="L255" s="4" t="str">
        <f t="shared" ref="L255" si="542">BIN2HEX(D262&amp;D261&amp;D260&amp;D259&amp;D258&amp;D257&amp;D256&amp;D255)</f>
        <v>0</v>
      </c>
      <c r="M255" s="4" t="str">
        <f t="shared" ref="M255" si="543">BIN2HEX(E262&amp;E261&amp;E260&amp;E259&amp;E258&amp;E257&amp;E256&amp;E255)</f>
        <v>0</v>
      </c>
      <c r="N255" s="4" t="str">
        <f t="shared" ref="N255" si="544">BIN2HEX(F262&amp;F261&amp;F260&amp;F259&amp;F258&amp;F257&amp;F256&amp;F255)</f>
        <v>0</v>
      </c>
      <c r="O255" s="4" t="str">
        <f t="shared" ref="O255" si="545">BIN2HEX(G262&amp;G261&amp;G260&amp;G259&amp;G258&amp;G257&amp;G256&amp;G255)</f>
        <v>0</v>
      </c>
      <c r="P255" s="3" t="str">
        <f>BIN2HEX(H262&amp;H261&amp;H260&amp;H259&amp;H258&amp;H257&amp;H256&amp;H255)</f>
        <v>0</v>
      </c>
    </row>
    <row r="256" spans="1:64" x14ac:dyDescent="0.25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46" t="str">
        <f>"0x"&amp;I255&amp;", 0x"&amp;J255&amp;", 0x"&amp;K255&amp;", 0x"&amp;L255&amp;", 0x"&amp;M255&amp;", 0x"&amp;N255&amp;", 0x"&amp;O255&amp;", 0x"&amp;P255</f>
        <v>0x0, 0x0, 0x0, 0x0, 0x0, 0x0, 0x0, 0x0</v>
      </c>
      <c r="J256" s="47"/>
      <c r="K256" s="47"/>
      <c r="L256" s="47"/>
      <c r="M256" s="47"/>
      <c r="N256" s="47"/>
      <c r="O256" s="47"/>
      <c r="P256" s="48"/>
    </row>
    <row r="257" spans="1:16" x14ac:dyDescent="0.25">
      <c r="A257" s="2">
        <v>0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46"/>
      <c r="J257" s="47"/>
      <c r="K257" s="47"/>
      <c r="L257" s="47"/>
      <c r="M257" s="47"/>
      <c r="N257" s="47"/>
      <c r="O257" s="47"/>
      <c r="P257" s="48"/>
    </row>
    <row r="258" spans="1:16" x14ac:dyDescent="0.25">
      <c r="A258" s="2">
        <v>0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5">
        <v>0</v>
      </c>
      <c r="I258" s="51" t="s">
        <v>80</v>
      </c>
      <c r="J258" s="52"/>
      <c r="K258" s="52"/>
      <c r="L258" s="52"/>
      <c r="M258" s="52"/>
      <c r="N258" s="52"/>
      <c r="O258" s="52"/>
      <c r="P258" s="53"/>
    </row>
    <row r="259" spans="1:16" ht="15" customHeight="1" x14ac:dyDescent="0.25">
      <c r="A259" s="2">
        <v>0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5">
        <v>0</v>
      </c>
      <c r="I259" s="33" t="str">
        <f>"{{"&amp;I256&amp;"}"&amp;", "&amp;$I$1&amp;"},  //"&amp;I258&amp;":"&amp;M254&amp;":"&amp;O254</f>
        <v>{{0x0, 0x0, 0x0, 0x0, 0x0, 0x0, 0x0, 0x0}, 8},  //@:0:64</v>
      </c>
      <c r="J259" s="34"/>
      <c r="K259" s="34"/>
      <c r="L259" s="34"/>
      <c r="M259" s="34"/>
      <c r="N259" s="34"/>
      <c r="O259" s="34"/>
      <c r="P259" s="35"/>
    </row>
    <row r="260" spans="1:16" x14ac:dyDescent="0.25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5">
        <v>0</v>
      </c>
      <c r="I260" s="33"/>
      <c r="J260" s="34"/>
      <c r="K260" s="34"/>
      <c r="L260" s="34"/>
      <c r="M260" s="34"/>
      <c r="N260" s="34"/>
      <c r="O260" s="34"/>
      <c r="P260" s="35"/>
    </row>
    <row r="261" spans="1:16" x14ac:dyDescent="0.25">
      <c r="A261" s="2">
        <v>0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5">
        <v>0</v>
      </c>
      <c r="P261" s="3"/>
    </row>
    <row r="262" spans="1:16" x14ac:dyDescent="0.25">
      <c r="A262" s="2">
        <v>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5">
        <v>0</v>
      </c>
      <c r="P262" s="3"/>
    </row>
  </sheetData>
  <mergeCells count="840">
    <mergeCell ref="BW178:CD179"/>
    <mergeCell ref="CM178:CT179"/>
    <mergeCell ref="BW180:BZ180"/>
    <mergeCell ref="CA180:CB180"/>
    <mergeCell ref="CC180:CD180"/>
    <mergeCell ref="CM180:CP180"/>
    <mergeCell ref="CQ180:CR180"/>
    <mergeCell ref="CS180:CT180"/>
    <mergeCell ref="BO183:CP189"/>
    <mergeCell ref="BW173:BZ173"/>
    <mergeCell ref="CA173:CB173"/>
    <mergeCell ref="CC173:CD173"/>
    <mergeCell ref="CM173:CP173"/>
    <mergeCell ref="CQ173:CR173"/>
    <mergeCell ref="CS173:CT173"/>
    <mergeCell ref="BW175:CD176"/>
    <mergeCell ref="CM175:CT176"/>
    <mergeCell ref="BW177:CD177"/>
    <mergeCell ref="CM177:CT177"/>
    <mergeCell ref="BW166:CD167"/>
    <mergeCell ref="CM166:CT167"/>
    <mergeCell ref="BW168:CD168"/>
    <mergeCell ref="CM168:CT168"/>
    <mergeCell ref="BW169:CD170"/>
    <mergeCell ref="CM169:CT170"/>
    <mergeCell ref="BW171:BZ171"/>
    <mergeCell ref="CA171:CB171"/>
    <mergeCell ref="CC171:CD171"/>
    <mergeCell ref="CM171:CP171"/>
    <mergeCell ref="CQ171:CR171"/>
    <mergeCell ref="CS171:CT171"/>
    <mergeCell ref="BW160:CD161"/>
    <mergeCell ref="CM160:CT161"/>
    <mergeCell ref="BW162:BZ162"/>
    <mergeCell ref="CA162:CB162"/>
    <mergeCell ref="CC162:CD162"/>
    <mergeCell ref="CM162:CP162"/>
    <mergeCell ref="CQ162:CR162"/>
    <mergeCell ref="CS162:CT162"/>
    <mergeCell ref="BW164:BZ164"/>
    <mergeCell ref="CA164:CB164"/>
    <mergeCell ref="CC164:CD164"/>
    <mergeCell ref="CM164:CP164"/>
    <mergeCell ref="CQ164:CR164"/>
    <mergeCell ref="CS164:CT164"/>
    <mergeCell ref="BW155:BZ155"/>
    <mergeCell ref="CA155:CB155"/>
    <mergeCell ref="CC155:CD155"/>
    <mergeCell ref="CM155:CP155"/>
    <mergeCell ref="CQ155:CR155"/>
    <mergeCell ref="CS155:CT155"/>
    <mergeCell ref="BW157:CD158"/>
    <mergeCell ref="CM157:CT158"/>
    <mergeCell ref="BW159:CD159"/>
    <mergeCell ref="CM159:CT159"/>
    <mergeCell ref="BO120:CT154"/>
    <mergeCell ref="I254:L254"/>
    <mergeCell ref="M254:N254"/>
    <mergeCell ref="O254:P254"/>
    <mergeCell ref="I256:P257"/>
    <mergeCell ref="I258:P258"/>
    <mergeCell ref="I259:P260"/>
    <mergeCell ref="CS117:CT117"/>
    <mergeCell ref="CQ117:CR117"/>
    <mergeCell ref="CM117:CP117"/>
    <mergeCell ref="BW117:BZ117"/>
    <mergeCell ref="CA117:CB117"/>
    <mergeCell ref="CC117:CD117"/>
    <mergeCell ref="I247:P248"/>
    <mergeCell ref="I249:P249"/>
    <mergeCell ref="I250:P251"/>
    <mergeCell ref="Y245:AB245"/>
    <mergeCell ref="AC245:AD245"/>
    <mergeCell ref="AE245:AF245"/>
    <mergeCell ref="Y247:AF248"/>
    <mergeCell ref="Y249:AF249"/>
    <mergeCell ref="Y250:AF251"/>
    <mergeCell ref="I232:P233"/>
    <mergeCell ref="Y232:AF233"/>
    <mergeCell ref="CM115:CT116"/>
    <mergeCell ref="CM114:CT114"/>
    <mergeCell ref="CM112:CT113"/>
    <mergeCell ref="CS110:CT110"/>
    <mergeCell ref="CQ110:CR110"/>
    <mergeCell ref="CM110:CP110"/>
    <mergeCell ref="BW110:BZ110"/>
    <mergeCell ref="CA110:CB110"/>
    <mergeCell ref="CC110:CD110"/>
    <mergeCell ref="BW112:CD113"/>
    <mergeCell ref="BW114:CD114"/>
    <mergeCell ref="BW115:CD116"/>
    <mergeCell ref="CM101:CP101"/>
    <mergeCell ref="CQ101:CR101"/>
    <mergeCell ref="CS101:CT101"/>
    <mergeCell ref="CM103:CT104"/>
    <mergeCell ref="CM105:CT105"/>
    <mergeCell ref="CM106:CT107"/>
    <mergeCell ref="CM108:CP108"/>
    <mergeCell ref="CQ108:CR108"/>
    <mergeCell ref="CS108:CT108"/>
    <mergeCell ref="BW101:BZ101"/>
    <mergeCell ref="CA101:CB101"/>
    <mergeCell ref="CC101:CD101"/>
    <mergeCell ref="BW103:CD104"/>
    <mergeCell ref="BW105:CD105"/>
    <mergeCell ref="BW106:CD107"/>
    <mergeCell ref="BW108:BZ108"/>
    <mergeCell ref="CA108:CB108"/>
    <mergeCell ref="CC108:CD108"/>
    <mergeCell ref="BW99:BZ99"/>
    <mergeCell ref="CA99:CB99"/>
    <mergeCell ref="CC99:CD99"/>
    <mergeCell ref="CM92:CP92"/>
    <mergeCell ref="CQ92:CR92"/>
    <mergeCell ref="CS92:CT92"/>
    <mergeCell ref="CM94:CT95"/>
    <mergeCell ref="CM96:CT96"/>
    <mergeCell ref="CM97:CT98"/>
    <mergeCell ref="CM99:CP99"/>
    <mergeCell ref="CQ99:CR99"/>
    <mergeCell ref="CS99:CT99"/>
    <mergeCell ref="CM90:CP90"/>
    <mergeCell ref="CQ90:CR90"/>
    <mergeCell ref="CS90:CT90"/>
    <mergeCell ref="BW92:BZ92"/>
    <mergeCell ref="CA92:CB92"/>
    <mergeCell ref="CC92:CD92"/>
    <mergeCell ref="BW94:CD95"/>
    <mergeCell ref="BW96:CD96"/>
    <mergeCell ref="BW97:CD98"/>
    <mergeCell ref="BW83:BZ83"/>
    <mergeCell ref="CA83:CB83"/>
    <mergeCell ref="CC83:CD83"/>
    <mergeCell ref="BW85:CD86"/>
    <mergeCell ref="BW87:CD87"/>
    <mergeCell ref="BW88:CD89"/>
    <mergeCell ref="CM83:CP83"/>
    <mergeCell ref="CQ83:CR83"/>
    <mergeCell ref="CS83:CT83"/>
    <mergeCell ref="CM85:CT86"/>
    <mergeCell ref="CM87:CT87"/>
    <mergeCell ref="CM88:CT89"/>
    <mergeCell ref="CM74:CP74"/>
    <mergeCell ref="CQ74:CR74"/>
    <mergeCell ref="CS74:CT74"/>
    <mergeCell ref="CM76:CT77"/>
    <mergeCell ref="CM78:CT78"/>
    <mergeCell ref="CM79:CT80"/>
    <mergeCell ref="CM81:CP81"/>
    <mergeCell ref="CQ81:CR81"/>
    <mergeCell ref="CS81:CT81"/>
    <mergeCell ref="BW74:BZ74"/>
    <mergeCell ref="CA74:CB74"/>
    <mergeCell ref="CC74:CD74"/>
    <mergeCell ref="BW76:CD77"/>
    <mergeCell ref="BW78:CD78"/>
    <mergeCell ref="BW79:CD80"/>
    <mergeCell ref="BW81:BZ81"/>
    <mergeCell ref="CA81:CB81"/>
    <mergeCell ref="CC81:CD81"/>
    <mergeCell ref="CM65:CP65"/>
    <mergeCell ref="CQ65:CR65"/>
    <mergeCell ref="CS65:CT65"/>
    <mergeCell ref="CM67:CT68"/>
    <mergeCell ref="CM69:CT69"/>
    <mergeCell ref="CM70:CT71"/>
    <mergeCell ref="CM72:CP72"/>
    <mergeCell ref="CQ72:CR72"/>
    <mergeCell ref="CS72:CT72"/>
    <mergeCell ref="BW65:BZ65"/>
    <mergeCell ref="CA65:CB65"/>
    <mergeCell ref="CC65:CD65"/>
    <mergeCell ref="BW67:CD68"/>
    <mergeCell ref="BW69:CD69"/>
    <mergeCell ref="BW70:CD71"/>
    <mergeCell ref="BW72:BZ72"/>
    <mergeCell ref="CA72:CB72"/>
    <mergeCell ref="CC72:CD72"/>
    <mergeCell ref="CM56:CP56"/>
    <mergeCell ref="CQ56:CR56"/>
    <mergeCell ref="CS56:CT56"/>
    <mergeCell ref="CM58:CT59"/>
    <mergeCell ref="CM60:CT60"/>
    <mergeCell ref="CM61:CT62"/>
    <mergeCell ref="CM63:CP63"/>
    <mergeCell ref="CQ63:CR63"/>
    <mergeCell ref="CS63:CT63"/>
    <mergeCell ref="BW56:BZ56"/>
    <mergeCell ref="CA56:CB56"/>
    <mergeCell ref="CC56:CD56"/>
    <mergeCell ref="BW58:CD59"/>
    <mergeCell ref="BW60:CD60"/>
    <mergeCell ref="BW61:CD62"/>
    <mergeCell ref="BW63:BZ63"/>
    <mergeCell ref="CA63:CB63"/>
    <mergeCell ref="CC63:CD63"/>
    <mergeCell ref="CM47:CP47"/>
    <mergeCell ref="CQ47:CR47"/>
    <mergeCell ref="CS47:CT47"/>
    <mergeCell ref="CM49:CT50"/>
    <mergeCell ref="CM51:CT51"/>
    <mergeCell ref="CM52:CT53"/>
    <mergeCell ref="CM54:CP54"/>
    <mergeCell ref="CQ54:CR54"/>
    <mergeCell ref="CS54:CT54"/>
    <mergeCell ref="BW47:BZ47"/>
    <mergeCell ref="CA47:CB47"/>
    <mergeCell ref="CC47:CD47"/>
    <mergeCell ref="BW49:CD50"/>
    <mergeCell ref="BW51:CD51"/>
    <mergeCell ref="BW52:CD53"/>
    <mergeCell ref="BW54:BZ54"/>
    <mergeCell ref="CA54:CB54"/>
    <mergeCell ref="CC54:CD54"/>
    <mergeCell ref="CM38:CP38"/>
    <mergeCell ref="CQ38:CR38"/>
    <mergeCell ref="CS38:CT38"/>
    <mergeCell ref="CM40:CT41"/>
    <mergeCell ref="CM42:CT42"/>
    <mergeCell ref="CM43:CT44"/>
    <mergeCell ref="CM45:CP45"/>
    <mergeCell ref="CQ45:CR45"/>
    <mergeCell ref="CS45:CT45"/>
    <mergeCell ref="BW38:BZ38"/>
    <mergeCell ref="CA38:CB38"/>
    <mergeCell ref="CC38:CD38"/>
    <mergeCell ref="BW40:CD41"/>
    <mergeCell ref="BW42:CD42"/>
    <mergeCell ref="BW43:CD44"/>
    <mergeCell ref="BW45:BZ45"/>
    <mergeCell ref="CA45:CB45"/>
    <mergeCell ref="CC45:CD45"/>
    <mergeCell ref="CM29:CP29"/>
    <mergeCell ref="CQ29:CR29"/>
    <mergeCell ref="CS29:CT29"/>
    <mergeCell ref="CM31:CT32"/>
    <mergeCell ref="CM33:CT33"/>
    <mergeCell ref="CM34:CT35"/>
    <mergeCell ref="CM36:CP36"/>
    <mergeCell ref="CQ36:CR36"/>
    <mergeCell ref="CS36:CT36"/>
    <mergeCell ref="BW29:BZ29"/>
    <mergeCell ref="CA29:CB29"/>
    <mergeCell ref="CC29:CD29"/>
    <mergeCell ref="BW31:CD32"/>
    <mergeCell ref="BW33:CD33"/>
    <mergeCell ref="BW34:CD35"/>
    <mergeCell ref="BW36:BZ36"/>
    <mergeCell ref="CA36:CB36"/>
    <mergeCell ref="CC36:CD36"/>
    <mergeCell ref="CM20:CP20"/>
    <mergeCell ref="CQ20:CR20"/>
    <mergeCell ref="CS20:CT20"/>
    <mergeCell ref="CM22:CT23"/>
    <mergeCell ref="CM24:CT24"/>
    <mergeCell ref="CM25:CT26"/>
    <mergeCell ref="CM27:CP27"/>
    <mergeCell ref="CQ27:CR27"/>
    <mergeCell ref="CS27:CT27"/>
    <mergeCell ref="BW20:BZ20"/>
    <mergeCell ref="CA20:CB20"/>
    <mergeCell ref="CC20:CD20"/>
    <mergeCell ref="BW22:CD23"/>
    <mergeCell ref="BW24:CD24"/>
    <mergeCell ref="BW25:CD26"/>
    <mergeCell ref="BW27:BZ27"/>
    <mergeCell ref="CA27:CB27"/>
    <mergeCell ref="CC27:CD27"/>
    <mergeCell ref="CM11:CP11"/>
    <mergeCell ref="CQ11:CR11"/>
    <mergeCell ref="CS11:CT11"/>
    <mergeCell ref="CM13:CT14"/>
    <mergeCell ref="CM15:CT15"/>
    <mergeCell ref="CM16:CT17"/>
    <mergeCell ref="CM18:CP18"/>
    <mergeCell ref="CQ18:CR18"/>
    <mergeCell ref="CS18:CT18"/>
    <mergeCell ref="CC11:CD11"/>
    <mergeCell ref="BW13:CD14"/>
    <mergeCell ref="BW15:CD15"/>
    <mergeCell ref="BW16:CD17"/>
    <mergeCell ref="BW18:BZ18"/>
    <mergeCell ref="CC18:CD18"/>
    <mergeCell ref="CA11:CB11"/>
    <mergeCell ref="CA18:CB18"/>
    <mergeCell ref="BW11:BZ11"/>
    <mergeCell ref="CM2:CP2"/>
    <mergeCell ref="CQ2:CR2"/>
    <mergeCell ref="CS2:CT2"/>
    <mergeCell ref="CM4:CT5"/>
    <mergeCell ref="CM6:CT6"/>
    <mergeCell ref="CM7:CT8"/>
    <mergeCell ref="CM9:CP9"/>
    <mergeCell ref="CQ9:CR9"/>
    <mergeCell ref="CS9:CT9"/>
    <mergeCell ref="BW2:BZ2"/>
    <mergeCell ref="CA2:CB2"/>
    <mergeCell ref="CC2:CD2"/>
    <mergeCell ref="BW4:CD5"/>
    <mergeCell ref="BW6:CD6"/>
    <mergeCell ref="BW7:CD8"/>
    <mergeCell ref="BW9:BZ9"/>
    <mergeCell ref="CA9:CB9"/>
    <mergeCell ref="CC9:CD9"/>
    <mergeCell ref="AG228:BL245"/>
    <mergeCell ref="I236:L236"/>
    <mergeCell ref="M236:N236"/>
    <mergeCell ref="O236:P236"/>
    <mergeCell ref="Y236:AB236"/>
    <mergeCell ref="AC236:AD236"/>
    <mergeCell ref="AE236:AF236"/>
    <mergeCell ref="I238:P239"/>
    <mergeCell ref="Y238:AF239"/>
    <mergeCell ref="I240:P240"/>
    <mergeCell ref="Y240:AF240"/>
    <mergeCell ref="I241:P242"/>
    <mergeCell ref="Y241:AF242"/>
    <mergeCell ref="I245:L245"/>
    <mergeCell ref="M245:N245"/>
    <mergeCell ref="O245:P245"/>
    <mergeCell ref="I227:L227"/>
    <mergeCell ref="M227:N227"/>
    <mergeCell ref="O227:P227"/>
    <mergeCell ref="Y227:AB227"/>
    <mergeCell ref="AC227:AD227"/>
    <mergeCell ref="AE227:AF227"/>
    <mergeCell ref="I229:P230"/>
    <mergeCell ref="Y229:AF230"/>
    <mergeCell ref="I231:P231"/>
    <mergeCell ref="Y231:AF231"/>
    <mergeCell ref="BE72:BH72"/>
    <mergeCell ref="BI72:BJ72"/>
    <mergeCell ref="BK72:BL72"/>
    <mergeCell ref="I81:L81"/>
    <mergeCell ref="M81:N81"/>
    <mergeCell ref="O81:P81"/>
    <mergeCell ref="Y81:AB81"/>
    <mergeCell ref="AC81:AD81"/>
    <mergeCell ref="AE81:AF81"/>
    <mergeCell ref="AG75:BL109"/>
    <mergeCell ref="I103:P104"/>
    <mergeCell ref="Y103:AF104"/>
    <mergeCell ref="AS63:AT63"/>
    <mergeCell ref="AU63:AV63"/>
    <mergeCell ref="Y63:AB63"/>
    <mergeCell ref="AC63:AD63"/>
    <mergeCell ref="AE63:AF63"/>
    <mergeCell ref="I63:L63"/>
    <mergeCell ref="M63:N63"/>
    <mergeCell ref="O63:P63"/>
    <mergeCell ref="I72:L72"/>
    <mergeCell ref="M72:N72"/>
    <mergeCell ref="O72:P72"/>
    <mergeCell ref="Y72:AB72"/>
    <mergeCell ref="AC72:AD72"/>
    <mergeCell ref="AE72:AF72"/>
    <mergeCell ref="AO72:AR72"/>
    <mergeCell ref="AS72:AT72"/>
    <mergeCell ref="AU72:AV72"/>
    <mergeCell ref="M54:N54"/>
    <mergeCell ref="O54:P54"/>
    <mergeCell ref="Y54:AB54"/>
    <mergeCell ref="AC54:AD54"/>
    <mergeCell ref="AE54:AF54"/>
    <mergeCell ref="AO54:AR54"/>
    <mergeCell ref="AS54:AT54"/>
    <mergeCell ref="AU54:AV54"/>
    <mergeCell ref="BE54:BH54"/>
    <mergeCell ref="AO27:AR27"/>
    <mergeCell ref="AS27:AT27"/>
    <mergeCell ref="AU27:AV27"/>
    <mergeCell ref="BE27:BH27"/>
    <mergeCell ref="BI27:BJ27"/>
    <mergeCell ref="BK27:BL27"/>
    <mergeCell ref="Y45:AB45"/>
    <mergeCell ref="AC45:AD45"/>
    <mergeCell ref="AE45:AF45"/>
    <mergeCell ref="AO36:AR36"/>
    <mergeCell ref="AS36:AT36"/>
    <mergeCell ref="AU36:AV36"/>
    <mergeCell ref="BE36:BH36"/>
    <mergeCell ref="BI36:BJ36"/>
    <mergeCell ref="BK36:BL36"/>
    <mergeCell ref="AO45:AR45"/>
    <mergeCell ref="AS45:AT45"/>
    <mergeCell ref="AU45:AV45"/>
    <mergeCell ref="BE45:BH45"/>
    <mergeCell ref="BI45:BJ45"/>
    <mergeCell ref="BK45:BL45"/>
    <mergeCell ref="BE31:BL32"/>
    <mergeCell ref="AO29:AR29"/>
    <mergeCell ref="AS29:AT29"/>
    <mergeCell ref="I223:P224"/>
    <mergeCell ref="Y223:AF224"/>
    <mergeCell ref="AG183:BL200"/>
    <mergeCell ref="AO9:AR9"/>
    <mergeCell ref="AS9:AT9"/>
    <mergeCell ref="AU9:AV9"/>
    <mergeCell ref="BE9:BH9"/>
    <mergeCell ref="BI9:BJ9"/>
    <mergeCell ref="BK9:BL9"/>
    <mergeCell ref="I18:L18"/>
    <mergeCell ref="M18:N18"/>
    <mergeCell ref="O18:P18"/>
    <mergeCell ref="Y18:AB18"/>
    <mergeCell ref="AC18:AD18"/>
    <mergeCell ref="AE18:AF18"/>
    <mergeCell ref="AO18:AR18"/>
    <mergeCell ref="AS18:AT18"/>
    <mergeCell ref="AU18:AV18"/>
    <mergeCell ref="BE18:BH18"/>
    <mergeCell ref="BI18:BJ18"/>
    <mergeCell ref="I220:P221"/>
    <mergeCell ref="Y220:AF221"/>
    <mergeCell ref="I222:P222"/>
    <mergeCell ref="Y222:AF222"/>
    <mergeCell ref="I218:L218"/>
    <mergeCell ref="M218:N218"/>
    <mergeCell ref="O218:P218"/>
    <mergeCell ref="Y218:AB218"/>
    <mergeCell ref="AC218:AD218"/>
    <mergeCell ref="AE218:AF218"/>
    <mergeCell ref="I202:P203"/>
    <mergeCell ref="Y202:AF203"/>
    <mergeCell ref="I211:P212"/>
    <mergeCell ref="Y211:AF212"/>
    <mergeCell ref="I204:P204"/>
    <mergeCell ref="Y204:AF204"/>
    <mergeCell ref="I213:P213"/>
    <mergeCell ref="Y213:AF213"/>
    <mergeCell ref="I205:P206"/>
    <mergeCell ref="Y205:AF206"/>
    <mergeCell ref="I214:P215"/>
    <mergeCell ref="Y214:AF215"/>
    <mergeCell ref="I209:L209"/>
    <mergeCell ref="M209:N209"/>
    <mergeCell ref="O209:P209"/>
    <mergeCell ref="Y209:AB209"/>
    <mergeCell ref="AC209:AD209"/>
    <mergeCell ref="AE209:AF209"/>
    <mergeCell ref="I196:P197"/>
    <mergeCell ref="Y196:AF197"/>
    <mergeCell ref="I200:L200"/>
    <mergeCell ref="M200:N200"/>
    <mergeCell ref="O200:P200"/>
    <mergeCell ref="Y200:AB200"/>
    <mergeCell ref="AC200:AD200"/>
    <mergeCell ref="AE200:AF200"/>
    <mergeCell ref="Y191:AB191"/>
    <mergeCell ref="AC191:AD191"/>
    <mergeCell ref="AE191:AF191"/>
    <mergeCell ref="I184:P185"/>
    <mergeCell ref="Y184:AF185"/>
    <mergeCell ref="I193:P194"/>
    <mergeCell ref="Y193:AF194"/>
    <mergeCell ref="I186:P186"/>
    <mergeCell ref="Y186:AF186"/>
    <mergeCell ref="I195:P195"/>
    <mergeCell ref="Y195:AF195"/>
    <mergeCell ref="I182:L182"/>
    <mergeCell ref="M182:N182"/>
    <mergeCell ref="O182:P182"/>
    <mergeCell ref="Y182:AB182"/>
    <mergeCell ref="AC182:AD182"/>
    <mergeCell ref="AE182:AF182"/>
    <mergeCell ref="I191:L191"/>
    <mergeCell ref="M191:N191"/>
    <mergeCell ref="O191:P191"/>
    <mergeCell ref="I187:P188"/>
    <mergeCell ref="Y187:AF188"/>
    <mergeCell ref="BE137:BH137"/>
    <mergeCell ref="BI137:BJ137"/>
    <mergeCell ref="BK137:BL137"/>
    <mergeCell ref="AO139:AV140"/>
    <mergeCell ref="BE139:BL140"/>
    <mergeCell ref="AO141:AV141"/>
    <mergeCell ref="BE141:BL141"/>
    <mergeCell ref="AO142:AV143"/>
    <mergeCell ref="BE142:BL143"/>
    <mergeCell ref="BE128:BH128"/>
    <mergeCell ref="BI128:BJ128"/>
    <mergeCell ref="BK128:BL128"/>
    <mergeCell ref="AO130:AV131"/>
    <mergeCell ref="BE130:BL131"/>
    <mergeCell ref="AO132:AV132"/>
    <mergeCell ref="BE132:BL132"/>
    <mergeCell ref="AO133:AV134"/>
    <mergeCell ref="BE133:BL134"/>
    <mergeCell ref="BE119:BH119"/>
    <mergeCell ref="BI119:BJ119"/>
    <mergeCell ref="BK119:BL119"/>
    <mergeCell ref="AO121:AV122"/>
    <mergeCell ref="BE121:BL122"/>
    <mergeCell ref="AO123:AV123"/>
    <mergeCell ref="BE123:BL123"/>
    <mergeCell ref="AO124:AV125"/>
    <mergeCell ref="BE124:BL125"/>
    <mergeCell ref="BE110:BH110"/>
    <mergeCell ref="BI110:BJ110"/>
    <mergeCell ref="BK110:BL110"/>
    <mergeCell ref="AO112:AV113"/>
    <mergeCell ref="BE112:BL113"/>
    <mergeCell ref="AO114:AV114"/>
    <mergeCell ref="BE114:BL114"/>
    <mergeCell ref="AO115:AV116"/>
    <mergeCell ref="BE115:BL116"/>
    <mergeCell ref="I175:P176"/>
    <mergeCell ref="Y175:AF176"/>
    <mergeCell ref="I177:P177"/>
    <mergeCell ref="Y177:AF177"/>
    <mergeCell ref="I178:P179"/>
    <mergeCell ref="Y178:AF179"/>
    <mergeCell ref="AO110:AR110"/>
    <mergeCell ref="AS110:AT110"/>
    <mergeCell ref="AU110:AV110"/>
    <mergeCell ref="AO119:AR119"/>
    <mergeCell ref="AS119:AT119"/>
    <mergeCell ref="AU119:AV119"/>
    <mergeCell ref="AO128:AR128"/>
    <mergeCell ref="AS128:AT128"/>
    <mergeCell ref="AU128:AV128"/>
    <mergeCell ref="AO137:AR137"/>
    <mergeCell ref="AS137:AT137"/>
    <mergeCell ref="AU137:AV137"/>
    <mergeCell ref="AG147:BL181"/>
    <mergeCell ref="I166:P167"/>
    <mergeCell ref="Y166:AF167"/>
    <mergeCell ref="I168:P168"/>
    <mergeCell ref="Y168:AF168"/>
    <mergeCell ref="I169:P170"/>
    <mergeCell ref="Y169:AF170"/>
    <mergeCell ref="I173:L173"/>
    <mergeCell ref="M173:N173"/>
    <mergeCell ref="O173:P173"/>
    <mergeCell ref="Y173:AB173"/>
    <mergeCell ref="AC173:AD173"/>
    <mergeCell ref="AE173:AF173"/>
    <mergeCell ref="I159:P159"/>
    <mergeCell ref="Y159:AF159"/>
    <mergeCell ref="I160:P161"/>
    <mergeCell ref="Y160:AF161"/>
    <mergeCell ref="I164:L164"/>
    <mergeCell ref="M164:N164"/>
    <mergeCell ref="O164:P164"/>
    <mergeCell ref="Y164:AB164"/>
    <mergeCell ref="AC164:AD164"/>
    <mergeCell ref="AE164:AF164"/>
    <mergeCell ref="I151:P152"/>
    <mergeCell ref="Y151:AF152"/>
    <mergeCell ref="I155:L155"/>
    <mergeCell ref="M155:N155"/>
    <mergeCell ref="O155:P155"/>
    <mergeCell ref="Y155:AB155"/>
    <mergeCell ref="AC155:AD155"/>
    <mergeCell ref="AE155:AF155"/>
    <mergeCell ref="I157:P158"/>
    <mergeCell ref="Y157:AF158"/>
    <mergeCell ref="I146:L146"/>
    <mergeCell ref="M146:N146"/>
    <mergeCell ref="O146:P146"/>
    <mergeCell ref="Y146:AB146"/>
    <mergeCell ref="AC146:AD146"/>
    <mergeCell ref="AE146:AF146"/>
    <mergeCell ref="I148:P149"/>
    <mergeCell ref="Y148:AF149"/>
    <mergeCell ref="I150:P150"/>
    <mergeCell ref="Y150:AF150"/>
    <mergeCell ref="I132:P132"/>
    <mergeCell ref="I133:P134"/>
    <mergeCell ref="Y132:AF132"/>
    <mergeCell ref="Y133:AF134"/>
    <mergeCell ref="I141:P141"/>
    <mergeCell ref="I142:P143"/>
    <mergeCell ref="Y141:AF141"/>
    <mergeCell ref="Y142:AF143"/>
    <mergeCell ref="I137:L137"/>
    <mergeCell ref="M137:N137"/>
    <mergeCell ref="O137:P137"/>
    <mergeCell ref="Y137:AB137"/>
    <mergeCell ref="AC137:AD137"/>
    <mergeCell ref="AE137:AF137"/>
    <mergeCell ref="I139:P140"/>
    <mergeCell ref="Y139:AF140"/>
    <mergeCell ref="I128:L128"/>
    <mergeCell ref="M128:N128"/>
    <mergeCell ref="O128:P128"/>
    <mergeCell ref="Y128:AB128"/>
    <mergeCell ref="AC128:AD128"/>
    <mergeCell ref="AE128:AF128"/>
    <mergeCell ref="I123:P123"/>
    <mergeCell ref="I124:P125"/>
    <mergeCell ref="Y123:AF123"/>
    <mergeCell ref="Y124:AF125"/>
    <mergeCell ref="I115:P116"/>
    <mergeCell ref="I114:P114"/>
    <mergeCell ref="Y114:AF114"/>
    <mergeCell ref="Y115:AF116"/>
    <mergeCell ref="I119:L119"/>
    <mergeCell ref="M119:N119"/>
    <mergeCell ref="O119:P119"/>
    <mergeCell ref="Y119:AB119"/>
    <mergeCell ref="AC119:AD119"/>
    <mergeCell ref="AE119:AF119"/>
    <mergeCell ref="AO69:AV69"/>
    <mergeCell ref="BE69:BL69"/>
    <mergeCell ref="I78:P78"/>
    <mergeCell ref="Y78:AF78"/>
    <mergeCell ref="BE70:BL71"/>
    <mergeCell ref="AO70:AV71"/>
    <mergeCell ref="I33:P33"/>
    <mergeCell ref="Y33:AF33"/>
    <mergeCell ref="AO33:AV33"/>
    <mergeCell ref="BE33:BL33"/>
    <mergeCell ref="I42:P42"/>
    <mergeCell ref="Y42:AF42"/>
    <mergeCell ref="AO42:AV42"/>
    <mergeCell ref="BE42:BL42"/>
    <mergeCell ref="I51:P51"/>
    <mergeCell ref="Y51:AF51"/>
    <mergeCell ref="AO51:AV51"/>
    <mergeCell ref="BE51:BL51"/>
    <mergeCell ref="BK47:BL47"/>
    <mergeCell ref="AS38:AT38"/>
    <mergeCell ref="AU38:AV38"/>
    <mergeCell ref="BE38:BH38"/>
    <mergeCell ref="BI38:BJ38"/>
    <mergeCell ref="BK38:BL38"/>
    <mergeCell ref="Y94:AF95"/>
    <mergeCell ref="I22:P23"/>
    <mergeCell ref="Y22:AF23"/>
    <mergeCell ref="Y67:AF68"/>
    <mergeCell ref="I67:P68"/>
    <mergeCell ref="I76:P77"/>
    <mergeCell ref="Y76:AF77"/>
    <mergeCell ref="I31:P32"/>
    <mergeCell ref="Y31:AF32"/>
    <mergeCell ref="I38:L38"/>
    <mergeCell ref="M38:N38"/>
    <mergeCell ref="Y29:AB29"/>
    <mergeCell ref="AC29:AD29"/>
    <mergeCell ref="AE29:AF29"/>
    <mergeCell ref="Y24:AF24"/>
    <mergeCell ref="I60:P60"/>
    <mergeCell ref="Y60:AF60"/>
    <mergeCell ref="I69:P69"/>
    <mergeCell ref="Y69:AF69"/>
    <mergeCell ref="I45:L45"/>
    <mergeCell ref="M45:N45"/>
    <mergeCell ref="O45:P45"/>
    <mergeCell ref="I36:L36"/>
    <mergeCell ref="M36:N36"/>
    <mergeCell ref="I2:L2"/>
    <mergeCell ref="M2:P2"/>
    <mergeCell ref="I20:L20"/>
    <mergeCell ref="M11:N11"/>
    <mergeCell ref="O11:P11"/>
    <mergeCell ref="M20:N20"/>
    <mergeCell ref="O20:P20"/>
    <mergeCell ref="I4:P5"/>
    <mergeCell ref="Y4:AF5"/>
    <mergeCell ref="Y13:AF14"/>
    <mergeCell ref="Y2:AB2"/>
    <mergeCell ref="AC2:AF2"/>
    <mergeCell ref="I16:P17"/>
    <mergeCell ref="Y16:AF17"/>
    <mergeCell ref="I11:L11"/>
    <mergeCell ref="Y11:AB11"/>
    <mergeCell ref="AC11:AD11"/>
    <mergeCell ref="AE11:AF11"/>
    <mergeCell ref="Y20:AB20"/>
    <mergeCell ref="I13:P14"/>
    <mergeCell ref="I27:L27"/>
    <mergeCell ref="M27:N27"/>
    <mergeCell ref="O27:P27"/>
    <mergeCell ref="Y27:AB27"/>
    <mergeCell ref="AC27:AD27"/>
    <mergeCell ref="AE27:AF27"/>
    <mergeCell ref="AC56:AD56"/>
    <mergeCell ref="AE56:AF56"/>
    <mergeCell ref="Y74:AB74"/>
    <mergeCell ref="I47:L47"/>
    <mergeCell ref="M47:N47"/>
    <mergeCell ref="O47:P47"/>
    <mergeCell ref="Y47:AB47"/>
    <mergeCell ref="AC47:AD47"/>
    <mergeCell ref="AE47:AF47"/>
    <mergeCell ref="I34:P35"/>
    <mergeCell ref="Y34:AF35"/>
    <mergeCell ref="I43:P44"/>
    <mergeCell ref="Y43:AF44"/>
    <mergeCell ref="O36:P36"/>
    <mergeCell ref="Y36:AB36"/>
    <mergeCell ref="AC36:AD36"/>
    <mergeCell ref="AE36:AF36"/>
    <mergeCell ref="I54:L54"/>
    <mergeCell ref="I110:L110"/>
    <mergeCell ref="M110:N110"/>
    <mergeCell ref="O110:P110"/>
    <mergeCell ref="Y110:AB110"/>
    <mergeCell ref="AC110:AD110"/>
    <mergeCell ref="I49:P50"/>
    <mergeCell ref="Y49:AF50"/>
    <mergeCell ref="I65:L65"/>
    <mergeCell ref="M65:N65"/>
    <mergeCell ref="O65:P65"/>
    <mergeCell ref="Y65:AB65"/>
    <mergeCell ref="AC65:AD65"/>
    <mergeCell ref="AE65:AF65"/>
    <mergeCell ref="AC74:AD74"/>
    <mergeCell ref="AE74:AF74"/>
    <mergeCell ref="Y70:AF71"/>
    <mergeCell ref="I70:P71"/>
    <mergeCell ref="I79:P80"/>
    <mergeCell ref="Y79:AF80"/>
    <mergeCell ref="I52:P53"/>
    <mergeCell ref="Y52:AF53"/>
    <mergeCell ref="I85:P86"/>
    <mergeCell ref="Y85:AF86"/>
    <mergeCell ref="I94:P95"/>
    <mergeCell ref="I130:P131"/>
    <mergeCell ref="Y130:AF131"/>
    <mergeCell ref="AO2:AR2"/>
    <mergeCell ref="AS2:AT2"/>
    <mergeCell ref="AO11:AR11"/>
    <mergeCell ref="AS11:AT11"/>
    <mergeCell ref="AO20:AR20"/>
    <mergeCell ref="AS20:AT20"/>
    <mergeCell ref="I58:P59"/>
    <mergeCell ref="Y58:AF59"/>
    <mergeCell ref="I121:P122"/>
    <mergeCell ref="Y121:AF122"/>
    <mergeCell ref="I74:L74"/>
    <mergeCell ref="M74:N74"/>
    <mergeCell ref="O74:P74"/>
    <mergeCell ref="AE110:AF110"/>
    <mergeCell ref="I112:P113"/>
    <mergeCell ref="Y112:AF113"/>
    <mergeCell ref="I56:L56"/>
    <mergeCell ref="M56:N56"/>
    <mergeCell ref="O56:P56"/>
    <mergeCell ref="Y56:AB56"/>
    <mergeCell ref="AO31:AV32"/>
    <mergeCell ref="AO38:AR38"/>
    <mergeCell ref="AU11:AV11"/>
    <mergeCell ref="BE11:BH11"/>
    <mergeCell ref="BI11:BJ11"/>
    <mergeCell ref="BK11:BL11"/>
    <mergeCell ref="AO13:AV14"/>
    <mergeCell ref="BE13:BL14"/>
    <mergeCell ref="AU2:AV2"/>
    <mergeCell ref="BE2:BH2"/>
    <mergeCell ref="BI2:BJ2"/>
    <mergeCell ref="BK2:BL2"/>
    <mergeCell ref="AO4:AV5"/>
    <mergeCell ref="BE4:BL5"/>
    <mergeCell ref="AO7:AV8"/>
    <mergeCell ref="AO6:AV6"/>
    <mergeCell ref="BE6:BL6"/>
    <mergeCell ref="BE7:BL8"/>
    <mergeCell ref="BK18:BL18"/>
    <mergeCell ref="AO24:AV24"/>
    <mergeCell ref="BE24:BL24"/>
    <mergeCell ref="AO16:AV17"/>
    <mergeCell ref="AO58:AV59"/>
    <mergeCell ref="BE58:BL59"/>
    <mergeCell ref="AO40:AV41"/>
    <mergeCell ref="BE40:BL41"/>
    <mergeCell ref="AO49:AV50"/>
    <mergeCell ref="BE49:BL50"/>
    <mergeCell ref="AO56:AR56"/>
    <mergeCell ref="AS56:AT56"/>
    <mergeCell ref="AU56:AV56"/>
    <mergeCell ref="BE56:BH56"/>
    <mergeCell ref="BI56:BJ56"/>
    <mergeCell ref="BK56:BL56"/>
    <mergeCell ref="AO47:AR47"/>
    <mergeCell ref="AS47:AT47"/>
    <mergeCell ref="AU47:AV47"/>
    <mergeCell ref="BE47:BH47"/>
    <mergeCell ref="BI47:BJ47"/>
    <mergeCell ref="BE16:BL17"/>
    <mergeCell ref="BE25:BL26"/>
    <mergeCell ref="AO25:AV26"/>
    <mergeCell ref="I24:P24"/>
    <mergeCell ref="AU20:AV20"/>
    <mergeCell ref="BE20:BH20"/>
    <mergeCell ref="BI20:BJ20"/>
    <mergeCell ref="BK20:BL20"/>
    <mergeCell ref="AO22:AV23"/>
    <mergeCell ref="BE22:BL23"/>
    <mergeCell ref="AC20:AD20"/>
    <mergeCell ref="AE20:AF20"/>
    <mergeCell ref="AO67:AV68"/>
    <mergeCell ref="BE67:BL68"/>
    <mergeCell ref="AO65:AR65"/>
    <mergeCell ref="AS65:AT65"/>
    <mergeCell ref="AU65:AV65"/>
    <mergeCell ref="BE65:BH65"/>
    <mergeCell ref="BI65:BJ65"/>
    <mergeCell ref="BK65:BL65"/>
    <mergeCell ref="AU29:AV29"/>
    <mergeCell ref="BE29:BH29"/>
    <mergeCell ref="BI29:BJ29"/>
    <mergeCell ref="BK29:BL29"/>
    <mergeCell ref="AO34:AV35"/>
    <mergeCell ref="BE34:BL35"/>
    <mergeCell ref="AO43:AV44"/>
    <mergeCell ref="AO60:AV60"/>
    <mergeCell ref="BE60:BL60"/>
    <mergeCell ref="BE43:BL44"/>
    <mergeCell ref="BI54:BJ54"/>
    <mergeCell ref="BK54:BL54"/>
    <mergeCell ref="BE63:BH63"/>
    <mergeCell ref="BI63:BJ63"/>
    <mergeCell ref="BK63:BL63"/>
    <mergeCell ref="AO63:AR63"/>
    <mergeCell ref="A1:H1"/>
    <mergeCell ref="Y7:AF8"/>
    <mergeCell ref="I7:P8"/>
    <mergeCell ref="AO52:AV53"/>
    <mergeCell ref="BE52:BL53"/>
    <mergeCell ref="I61:P62"/>
    <mergeCell ref="Y61:AF62"/>
    <mergeCell ref="AO61:AV62"/>
    <mergeCell ref="BE61:BL62"/>
    <mergeCell ref="O38:P38"/>
    <mergeCell ref="Y38:AB38"/>
    <mergeCell ref="AC38:AD38"/>
    <mergeCell ref="AE38:AF38"/>
    <mergeCell ref="I40:P41"/>
    <mergeCell ref="Y40:AF41"/>
    <mergeCell ref="I29:L29"/>
    <mergeCell ref="M29:N29"/>
    <mergeCell ref="O29:P29"/>
    <mergeCell ref="Y25:AF26"/>
    <mergeCell ref="I25:P26"/>
    <mergeCell ref="I15:P15"/>
    <mergeCell ref="Y15:AF15"/>
    <mergeCell ref="AO15:AV15"/>
    <mergeCell ref="BE15:BL15"/>
  </mergeCells>
  <conditionalFormatting sqref="A3:H10 Q254:XFD1048576 BM12:BN19 BM21:BN28 BM66:BN73 BM3:BN10 AG75 BM75:BN82 AG146:BN146 BM210:XFD217 A219:H226 A201:H208 Q219:AF222 Q201:AF204 A263:H1048576 BM219:XFD245 AG246:XFD253 CU3:XFD10 CU12:XFD19 CU21:XFD28 CU66:XFD73 CU75:XFD82 BM147:BN181 Y6:AF6 Q3:T10 Y9:AF10 Q207:AF208 Q205:X206 Q225:AF226 Q223:X224 CU146:XFD181">
    <cfRule type="cellIs" dxfId="206" priority="265" operator="equal">
      <formula>1</formula>
    </cfRule>
  </conditionalFormatting>
  <conditionalFormatting sqref="Q86:R91 Q84:X85 S86:X86 S87:AF91 BM84:BN91 CU84:XFD91">
    <cfRule type="cellIs" dxfId="205" priority="258" operator="equal">
      <formula>1</formula>
    </cfRule>
  </conditionalFormatting>
  <conditionalFormatting sqref="A84:H91">
    <cfRule type="cellIs" dxfId="204" priority="257" operator="equal">
      <formula>1</formula>
    </cfRule>
  </conditionalFormatting>
  <conditionalFormatting sqref="Q93:X94 Q95:R100 S100:AF100 W96:AF99 W95:X95 S95:V99 BM93:BN100 CU93:XFD100">
    <cfRule type="cellIs" dxfId="203" priority="256" operator="equal">
      <formula>1</formula>
    </cfRule>
  </conditionalFormatting>
  <conditionalFormatting sqref="BM39:BN46 CU39:XFD46">
    <cfRule type="cellIs" dxfId="202" priority="240" operator="equal">
      <formula>1</formula>
    </cfRule>
  </conditionalFormatting>
  <conditionalFormatting sqref="Q102:X102 Q104:R109 S109:AF109 W105:AF108 W104:X104 S104:S108 V104:V108 Q103:S103 V103:X103 T103:T108 BM102:BN109 CU102:XFD109">
    <cfRule type="cellIs" dxfId="201" priority="254" operator="equal">
      <formula>1</formula>
    </cfRule>
  </conditionalFormatting>
  <conditionalFormatting sqref="A102:H109">
    <cfRule type="cellIs" dxfId="200" priority="253" operator="equal">
      <formula>1</formula>
    </cfRule>
  </conditionalFormatting>
  <conditionalFormatting sqref="A93:H100">
    <cfRule type="cellIs" dxfId="199" priority="252" operator="equal">
      <formula>1</formula>
    </cfRule>
  </conditionalFormatting>
  <conditionalFormatting sqref="U103:U108">
    <cfRule type="cellIs" dxfId="198" priority="251" operator="equal">
      <formula>1</formula>
    </cfRule>
  </conditionalFormatting>
  <conditionalFormatting sqref="BM138:BN145 CU138:XFD145">
    <cfRule type="cellIs" dxfId="197" priority="250" operator="equal">
      <formula>1</formula>
    </cfRule>
  </conditionalFormatting>
  <conditionalFormatting sqref="B12:B19">
    <cfRule type="cellIs" dxfId="196" priority="213" operator="equal">
      <formula>1</formula>
    </cfRule>
  </conditionalFormatting>
  <conditionalFormatting sqref="S13:S18">
    <cfRule type="cellIs" dxfId="195" priority="212" operator="equal">
      <formula>1</formula>
    </cfRule>
  </conditionalFormatting>
  <conditionalFormatting sqref="BM30:BN37 CU30:XFD37">
    <cfRule type="cellIs" dxfId="194" priority="246" operator="equal">
      <formula>1</formula>
    </cfRule>
  </conditionalFormatting>
  <conditionalFormatting sqref="A111:H118">
    <cfRule type="cellIs" dxfId="193" priority="230" operator="equal">
      <formula>1</formula>
    </cfRule>
  </conditionalFormatting>
  <conditionalFormatting sqref="T118:AF118 Q111:S118 Y117:AF117 T111:X117 BM111:BN118 CE111:XFD114 CE117:XFD118 CE115:CL116 CU115:XFD116">
    <cfRule type="cellIs" dxfId="192" priority="231" operator="equal">
      <formula>1</formula>
    </cfRule>
  </conditionalFormatting>
  <conditionalFormatting sqref="Y51 BM48:BN55 Y55:AF55 CU48:XFD55">
    <cfRule type="cellIs" dxfId="191" priority="237" operator="equal">
      <formula>1</formula>
    </cfRule>
  </conditionalFormatting>
  <conditionalFormatting sqref="Q48:X55">
    <cfRule type="cellIs" dxfId="190" priority="225" operator="equal">
      <formula>1</formula>
    </cfRule>
  </conditionalFormatting>
  <conditionalFormatting sqref="BM57:BN64 CU57:XFD64">
    <cfRule type="cellIs" dxfId="189" priority="229" operator="equal">
      <formula>1</formula>
    </cfRule>
  </conditionalFormatting>
  <conditionalFormatting sqref="I69 I73:P73">
    <cfRule type="cellIs" dxfId="188" priority="176" operator="equal">
      <formula>1</formula>
    </cfRule>
  </conditionalFormatting>
  <conditionalFormatting sqref="BM120:BN127 CU120:XFD127">
    <cfRule type="cellIs" dxfId="187" priority="222" operator="equal">
      <formula>1</formula>
    </cfRule>
  </conditionalFormatting>
  <conditionalFormatting sqref="BM129:BN136 CU129:XFD136">
    <cfRule type="cellIs" dxfId="186" priority="218" operator="equal">
      <formula>1</formula>
    </cfRule>
  </conditionalFormatting>
  <conditionalFormatting sqref="AW10:BL10 AW3:BD5 AG3:AN10 AW6:BE6 AW7:BD9">
    <cfRule type="cellIs" dxfId="185" priority="216" operator="equal">
      <formula>1</formula>
    </cfRule>
  </conditionalFormatting>
  <conditionalFormatting sqref="A12:A19 G12:H19 Q12:X12 W15:Y15 W14:X14 T14:V18 T13:X13 Q13:R19 S19:AF19 W16:X18">
    <cfRule type="cellIs" dxfId="184" priority="215" operator="equal">
      <formula>1</formula>
    </cfRule>
  </conditionalFormatting>
  <conditionalFormatting sqref="C12:F19">
    <cfRule type="cellIs" dxfId="183" priority="214" operator="equal">
      <formula>1</formula>
    </cfRule>
  </conditionalFormatting>
  <conditionalFormatting sqref="AG12:AN19">
    <cfRule type="cellIs" dxfId="182" priority="210" operator="equal">
      <formula>1</formula>
    </cfRule>
  </conditionalFormatting>
  <conditionalFormatting sqref="BE15 BE19:BL19">
    <cfRule type="cellIs" dxfId="181" priority="211" operator="equal">
      <formula>1</formula>
    </cfRule>
  </conditionalFormatting>
  <conditionalFormatting sqref="AW12:BD19">
    <cfRule type="cellIs" dxfId="180" priority="209" operator="equal">
      <formula>1</formula>
    </cfRule>
  </conditionalFormatting>
  <conditionalFormatting sqref="Y24 Y28:AF28">
    <cfRule type="cellIs" dxfId="179" priority="208" operator="equal">
      <formula>1</formula>
    </cfRule>
  </conditionalFormatting>
  <conditionalFormatting sqref="E21:G27">
    <cfRule type="cellIs" dxfId="178" priority="205" operator="equal">
      <formula>1</formula>
    </cfRule>
  </conditionalFormatting>
  <conditionalFormatting sqref="A28:H28 A21:D27 H21:H27">
    <cfRule type="cellIs" dxfId="177" priority="207" operator="equal">
      <formula>1</formula>
    </cfRule>
  </conditionalFormatting>
  <conditionalFormatting sqref="Q21:X28">
    <cfRule type="cellIs" dxfId="176" priority="206" operator="equal">
      <formula>1</formula>
    </cfRule>
  </conditionalFormatting>
  <conditionalFormatting sqref="BE24 BE28:BL28">
    <cfRule type="cellIs" dxfId="175" priority="204" operator="equal">
      <formula>1</formula>
    </cfRule>
  </conditionalFormatting>
  <conditionalFormatting sqref="AG21:AN28">
    <cfRule type="cellIs" dxfId="174" priority="203" operator="equal">
      <formula>1</formula>
    </cfRule>
  </conditionalFormatting>
  <conditionalFormatting sqref="AW21:BD28">
    <cfRule type="cellIs" dxfId="173" priority="202" operator="equal">
      <formula>1</formula>
    </cfRule>
  </conditionalFormatting>
  <conditionalFormatting sqref="A30:H37">
    <cfRule type="cellIs" dxfId="172" priority="201" operator="equal">
      <formula>1</formula>
    </cfRule>
  </conditionalFormatting>
  <conditionalFormatting sqref="Q30:X37">
    <cfRule type="cellIs" dxfId="171" priority="200" operator="equal">
      <formula>1</formula>
    </cfRule>
  </conditionalFormatting>
  <conditionalFormatting sqref="BE33 AW30:BD37 BE37:BL37">
    <cfRule type="cellIs" dxfId="170" priority="199" operator="equal">
      <formula>1</formula>
    </cfRule>
  </conditionalFormatting>
  <conditionalFormatting sqref="AG30:AN37">
    <cfRule type="cellIs" dxfId="169" priority="198" operator="equal">
      <formula>1</formula>
    </cfRule>
  </conditionalFormatting>
  <conditionalFormatting sqref="Y42 Y46:AF46">
    <cfRule type="cellIs" dxfId="168" priority="197" operator="equal">
      <formula>1</formula>
    </cfRule>
  </conditionalFormatting>
  <conditionalFormatting sqref="A39:H46">
    <cfRule type="cellIs" dxfId="167" priority="196" operator="equal">
      <formula>1</formula>
    </cfRule>
  </conditionalFormatting>
  <conditionalFormatting sqref="Q39:X39 Q41:R46 S46:X46 S41:S45 Q40:S40 T40:X45">
    <cfRule type="cellIs" dxfId="166" priority="195" operator="equal">
      <formula>1</formula>
    </cfRule>
  </conditionalFormatting>
  <conditionalFormatting sqref="AG120:AN127">
    <cfRule type="cellIs" dxfId="165" priority="129" operator="equal">
      <formula>1</formula>
    </cfRule>
  </conditionalFormatting>
  <conditionalFormatting sqref="A48:H55">
    <cfRule type="cellIs" dxfId="164" priority="193" operator="equal">
      <formula>1</formula>
    </cfRule>
  </conditionalFormatting>
  <conditionalFormatting sqref="AO42 AO46:AV46">
    <cfRule type="cellIs" dxfId="163" priority="192" operator="equal">
      <formula>1</formula>
    </cfRule>
  </conditionalFormatting>
  <conditionalFormatting sqref="BE42 BE46:BL46">
    <cfRule type="cellIs" dxfId="162" priority="190" operator="equal">
      <formula>1</formula>
    </cfRule>
  </conditionalFormatting>
  <conditionalFormatting sqref="AO51 AO55:AV55">
    <cfRule type="cellIs" dxfId="161" priority="188" operator="equal">
      <formula>1</formula>
    </cfRule>
  </conditionalFormatting>
  <conditionalFormatting sqref="AG48:AN55">
    <cfRule type="cellIs" dxfId="160" priority="187" operator="equal">
      <formula>1</formula>
    </cfRule>
  </conditionalFormatting>
  <conditionalFormatting sqref="BE51 BE55:BL55">
    <cfRule type="cellIs" dxfId="159" priority="186" operator="equal">
      <formula>1</formula>
    </cfRule>
  </conditionalFormatting>
  <conditionalFormatting sqref="AW48:BD55">
    <cfRule type="cellIs" dxfId="158" priority="185" operator="equal">
      <formula>1</formula>
    </cfRule>
  </conditionalFormatting>
  <conditionalFormatting sqref="I60 I64:P64">
    <cfRule type="cellIs" dxfId="157" priority="184" operator="equal">
      <formula>1</formula>
    </cfRule>
  </conditionalFormatting>
  <conditionalFormatting sqref="Y60 Y64:AF64">
    <cfRule type="cellIs" dxfId="156" priority="182" operator="equal">
      <formula>1</formula>
    </cfRule>
  </conditionalFormatting>
  <conditionalFormatting sqref="AO60 AO64:AV64">
    <cfRule type="cellIs" dxfId="155" priority="180" operator="equal">
      <formula>1</formula>
    </cfRule>
  </conditionalFormatting>
  <conditionalFormatting sqref="BE60 BE64:BL64">
    <cfRule type="cellIs" dxfId="154" priority="178" operator="equal">
      <formula>1</formula>
    </cfRule>
  </conditionalFormatting>
  <conditionalFormatting sqref="Y69 Y73:AF73">
    <cfRule type="cellIs" dxfId="153" priority="174" operator="equal">
      <formula>1</formula>
    </cfRule>
  </conditionalFormatting>
  <conditionalFormatting sqref="Q73:X73 Q66:Q72 V66:X72">
    <cfRule type="cellIs" dxfId="152" priority="173" operator="equal">
      <formula>1</formula>
    </cfRule>
  </conditionalFormatting>
  <conditionalFormatting sqref="AO69 AO73:AV73">
    <cfRule type="cellIs" dxfId="151" priority="172" operator="equal">
      <formula>1</formula>
    </cfRule>
  </conditionalFormatting>
  <conditionalFormatting sqref="AG66:AN73">
    <cfRule type="cellIs" dxfId="150" priority="171" operator="equal">
      <formula>1</formula>
    </cfRule>
  </conditionalFormatting>
  <conditionalFormatting sqref="BE69 BE73:BL73">
    <cfRule type="cellIs" dxfId="149" priority="170" operator="equal">
      <formula>1</formula>
    </cfRule>
  </conditionalFormatting>
  <conditionalFormatting sqref="I78 I82:P82">
    <cfRule type="cellIs" dxfId="148" priority="168" operator="equal">
      <formula>1</formula>
    </cfRule>
  </conditionalFormatting>
  <conditionalFormatting sqref="Y78 Y82:AF82">
    <cfRule type="cellIs" dxfId="147" priority="166" operator="equal">
      <formula>1</formula>
    </cfRule>
  </conditionalFormatting>
  <conditionalFormatting sqref="A75:H82">
    <cfRule type="cellIs" dxfId="146" priority="164" operator="equal">
      <formula>1</formula>
    </cfRule>
  </conditionalFormatting>
  <conditionalFormatting sqref="AG57:AN64">
    <cfRule type="cellIs" dxfId="145" priority="163" operator="equal">
      <formula>1</formula>
    </cfRule>
  </conditionalFormatting>
  <conditionalFormatting sqref="AW57:BD64">
    <cfRule type="cellIs" dxfId="144" priority="162" operator="equal">
      <formula>1</formula>
    </cfRule>
  </conditionalFormatting>
  <conditionalFormatting sqref="Q75:X82">
    <cfRule type="cellIs" dxfId="143" priority="161" operator="equal">
      <formula>1</formula>
    </cfRule>
  </conditionalFormatting>
  <conditionalFormatting sqref="AW39:BD46">
    <cfRule type="cellIs" dxfId="142" priority="160" operator="equal">
      <formula>1</formula>
    </cfRule>
  </conditionalFormatting>
  <conditionalFormatting sqref="AG39:AN46">
    <cfRule type="cellIs" dxfId="141" priority="159" operator="equal">
      <formula>1</formula>
    </cfRule>
  </conditionalFormatting>
  <conditionalFormatting sqref="A57:H64">
    <cfRule type="cellIs" dxfId="140" priority="158" operator="equal">
      <formula>1</formula>
    </cfRule>
  </conditionalFormatting>
  <conditionalFormatting sqref="Q57:X64">
    <cfRule type="cellIs" dxfId="139" priority="157" operator="equal">
      <formula>1</formula>
    </cfRule>
  </conditionalFormatting>
  <conditionalFormatting sqref="AW66:BD73">
    <cfRule type="cellIs" dxfId="138" priority="156" operator="equal">
      <formula>1</formula>
    </cfRule>
  </conditionalFormatting>
  <conditionalFormatting sqref="A66:H73">
    <cfRule type="cellIs" dxfId="137" priority="155" operator="equal">
      <formula>1</formula>
    </cfRule>
  </conditionalFormatting>
  <conditionalFormatting sqref="R66:U72">
    <cfRule type="cellIs" dxfId="136" priority="154" operator="equal">
      <formula>1</formula>
    </cfRule>
  </conditionalFormatting>
  <conditionalFormatting sqref="Q154:AF154 W153:AF153 W151:X152 Q151:V153 Q147:X150">
    <cfRule type="cellIs" dxfId="135" priority="153" operator="equal">
      <formula>1</formula>
    </cfRule>
  </conditionalFormatting>
  <conditionalFormatting sqref="A210:B217 G210:H217">
    <cfRule type="cellIs" dxfId="134" priority="105" operator="equal">
      <formula>1</formula>
    </cfRule>
  </conditionalFormatting>
  <conditionalFormatting sqref="A147:H154">
    <cfRule type="cellIs" dxfId="133" priority="151" operator="equal">
      <formula>1</formula>
    </cfRule>
  </conditionalFormatting>
  <conditionalFormatting sqref="Y162:AF163">
    <cfRule type="cellIs" dxfId="132" priority="150" operator="equal">
      <formula>1</formula>
    </cfRule>
  </conditionalFormatting>
  <conditionalFormatting sqref="A156:H163">
    <cfRule type="cellIs" dxfId="131" priority="148" operator="equal">
      <formula>1</formula>
    </cfRule>
  </conditionalFormatting>
  <conditionalFormatting sqref="Y171:AF172">
    <cfRule type="cellIs" dxfId="130" priority="147" operator="equal">
      <formula>1</formula>
    </cfRule>
  </conditionalFormatting>
  <conditionalFormatting sqref="Q181:AF181 W180:AF180 V175:X175 W176:X179 Q174:X174 Q175:T180 U176:V180">
    <cfRule type="cellIs" dxfId="129" priority="144" operator="equal">
      <formula>1</formula>
    </cfRule>
  </conditionalFormatting>
  <conditionalFormatting sqref="U175">
    <cfRule type="cellIs" dxfId="128" priority="143" operator="equal">
      <formula>1</formula>
    </cfRule>
  </conditionalFormatting>
  <conditionalFormatting sqref="A174:H181">
    <cfRule type="cellIs" dxfId="127" priority="142" operator="equal">
      <formula>1</formula>
    </cfRule>
  </conditionalFormatting>
  <conditionalFormatting sqref="A219:A226">
    <cfRule type="cellIs" dxfId="126" priority="93" operator="equal">
      <formula>1</formula>
    </cfRule>
  </conditionalFormatting>
  <conditionalFormatting sqref="Q156:X163">
    <cfRule type="cellIs" dxfId="125" priority="140" operator="equal">
      <formula>1</formula>
    </cfRule>
  </conditionalFormatting>
  <conditionalFormatting sqref="A172:H172 F166:H166 E167:H171 A165:H165 A166:D169 A170:B171">
    <cfRule type="cellIs" dxfId="124" priority="139" operator="equal">
      <formula>1</formula>
    </cfRule>
  </conditionalFormatting>
  <conditionalFormatting sqref="E166">
    <cfRule type="cellIs" dxfId="123" priority="138" operator="equal">
      <formula>1</formula>
    </cfRule>
  </conditionalFormatting>
  <conditionalFormatting sqref="C170:D171">
    <cfRule type="cellIs" dxfId="122" priority="137" operator="equal">
      <formula>1</formula>
    </cfRule>
  </conditionalFormatting>
  <conditionalFormatting sqref="Q165:X172">
    <cfRule type="cellIs" dxfId="121" priority="136" operator="equal">
      <formula>1</formula>
    </cfRule>
  </conditionalFormatting>
  <conditionalFormatting sqref="AG111:AN118">
    <cfRule type="cellIs" dxfId="120" priority="134" operator="equal">
      <formula>1</formula>
    </cfRule>
  </conditionalFormatting>
  <conditionalFormatting sqref="AW118:BL118 BE117:BL117 AW111:BD117">
    <cfRule type="cellIs" dxfId="119" priority="135" operator="equal">
      <formula>1</formula>
    </cfRule>
  </conditionalFormatting>
  <conditionalFormatting sqref="Q127:AF127 Y126:AF126 Q120:X126">
    <cfRule type="cellIs" dxfId="118" priority="133" operator="equal">
      <formula>1</formula>
    </cfRule>
  </conditionalFormatting>
  <conditionalFormatting sqref="A120:H127">
    <cfRule type="cellIs" dxfId="117" priority="132" operator="equal">
      <formula>1</formula>
    </cfRule>
  </conditionalFormatting>
  <conditionalFormatting sqref="AW127:BL127 BC126:BL126 BB121:BD121 BC122:BD125 AW120:BD120 AW121:AZ126 BA122:BB126">
    <cfRule type="cellIs" dxfId="116" priority="131" operator="equal">
      <formula>1</formula>
    </cfRule>
  </conditionalFormatting>
  <conditionalFormatting sqref="BA121">
    <cfRule type="cellIs" dxfId="115" priority="130" operator="equal">
      <formula>1</formula>
    </cfRule>
  </conditionalFormatting>
  <conditionalFormatting sqref="Q136:AF136 W135:AF135 W133:X134 Q133:V135 Q129:X132">
    <cfRule type="cellIs" dxfId="114" priority="128" operator="equal">
      <formula>1</formula>
    </cfRule>
  </conditionalFormatting>
  <conditionalFormatting sqref="A129:H136">
    <cfRule type="cellIs" dxfId="113" priority="127" operator="equal">
      <formula>1</formula>
    </cfRule>
  </conditionalFormatting>
  <conditionalFormatting sqref="BE135:BL136">
    <cfRule type="cellIs" dxfId="112" priority="126" operator="equal">
      <formula>1</formula>
    </cfRule>
  </conditionalFormatting>
  <conditionalFormatting sqref="AG129:AN136">
    <cfRule type="cellIs" dxfId="111" priority="125" operator="equal">
      <formula>1</formula>
    </cfRule>
  </conditionalFormatting>
  <conditionalFormatting sqref="AW129:BD136">
    <cfRule type="cellIs" dxfId="110" priority="124" operator="equal">
      <formula>1</formula>
    </cfRule>
  </conditionalFormatting>
  <conditionalFormatting sqref="Y144:AF145">
    <cfRule type="cellIs" dxfId="109" priority="123" operator="equal">
      <formula>1</formula>
    </cfRule>
  </conditionalFormatting>
  <conditionalFormatting sqref="A145:H145 F139:H139 E140:H144 A138:H138 A139:D142 A143:B144">
    <cfRule type="cellIs" dxfId="108" priority="122" operator="equal">
      <formula>1</formula>
    </cfRule>
  </conditionalFormatting>
  <conditionalFormatting sqref="E139">
    <cfRule type="cellIs" dxfId="107" priority="121" operator="equal">
      <formula>1</formula>
    </cfRule>
  </conditionalFormatting>
  <conditionalFormatting sqref="C143:D144">
    <cfRule type="cellIs" dxfId="106" priority="120" operator="equal">
      <formula>1</formula>
    </cfRule>
  </conditionalFormatting>
  <conditionalFormatting sqref="Q138:X145">
    <cfRule type="cellIs" dxfId="105" priority="119" operator="equal">
      <formula>1</formula>
    </cfRule>
  </conditionalFormatting>
  <conditionalFormatting sqref="AW145:BL145 BC144:BL144 BB139:BD139 BC140:BD143 AW138:BD138 AW139:AZ144 BA140:BB144">
    <cfRule type="cellIs" dxfId="104" priority="118" operator="equal">
      <formula>1</formula>
    </cfRule>
  </conditionalFormatting>
  <conditionalFormatting sqref="BA139">
    <cfRule type="cellIs" dxfId="103" priority="117" operator="equal">
      <formula>1</formula>
    </cfRule>
  </conditionalFormatting>
  <conditionalFormatting sqref="AG138:AN145">
    <cfRule type="cellIs" dxfId="102" priority="116" operator="equal">
      <formula>1</formula>
    </cfRule>
  </conditionalFormatting>
  <conditionalFormatting sqref="AG201">
    <cfRule type="cellIs" dxfId="101" priority="89" operator="equal">
      <formula>1</formula>
    </cfRule>
  </conditionalFormatting>
  <conditionalFormatting sqref="AG147">
    <cfRule type="cellIs" dxfId="100" priority="115" operator="equal">
      <formula>1</formula>
    </cfRule>
  </conditionalFormatting>
  <conditionalFormatting sqref="Q190:AF190 Y189:AF189 X183:X189 BM190:XFD190 Q183:Q189 BM183:BN189 CQ183:XFD189">
    <cfRule type="cellIs" dxfId="99" priority="114" operator="equal">
      <formula>1</formula>
    </cfRule>
  </conditionalFormatting>
  <conditionalFormatting sqref="BM192:XFD199">
    <cfRule type="cellIs" dxfId="98" priority="112" operator="equal">
      <formula>1</formula>
    </cfRule>
  </conditionalFormatting>
  <conditionalFormatting sqref="A192:H199">
    <cfRule type="cellIs" dxfId="97" priority="110" operator="equal">
      <formula>1</formula>
    </cfRule>
  </conditionalFormatting>
  <conditionalFormatting sqref="Q192:Q199 Y198:AF199">
    <cfRule type="cellIs" dxfId="96" priority="111" operator="equal">
      <formula>1</formula>
    </cfRule>
  </conditionalFormatting>
  <conditionalFormatting sqref="Q208:AF208 Y207:AF207 Q201:X207">
    <cfRule type="cellIs" dxfId="95" priority="109" operator="equal">
      <formula>1</formula>
    </cfRule>
  </conditionalFormatting>
  <conditionalFormatting sqref="A201:H208">
    <cfRule type="cellIs" dxfId="94" priority="108" operator="equal">
      <formula>1</formula>
    </cfRule>
  </conditionalFormatting>
  <conditionalFormatting sqref="Q217:AF217 W216:AF216 V211:X211 W212:X215 Q210:X210 Q211:T216 U212:V216">
    <cfRule type="cellIs" dxfId="93" priority="107" operator="equal">
      <formula>1</formula>
    </cfRule>
  </conditionalFormatting>
  <conditionalFormatting sqref="U211">
    <cfRule type="cellIs" dxfId="92" priority="106" operator="equal">
      <formula>1</formula>
    </cfRule>
  </conditionalFormatting>
  <conditionalFormatting sqref="R183:W189">
    <cfRule type="cellIs" dxfId="91" priority="104" operator="equal">
      <formula>1</formula>
    </cfRule>
  </conditionalFormatting>
  <conditionalFormatting sqref="A183:H190">
    <cfRule type="cellIs" dxfId="90" priority="103" operator="equal">
      <formula>1</formula>
    </cfRule>
  </conditionalFormatting>
  <conditionalFormatting sqref="R192:X199">
    <cfRule type="cellIs" dxfId="89" priority="102" operator="equal">
      <formula>1</formula>
    </cfRule>
  </conditionalFormatting>
  <conditionalFormatting sqref="C210:F217">
    <cfRule type="cellIs" dxfId="88" priority="101" operator="equal">
      <formula>1</formula>
    </cfRule>
  </conditionalFormatting>
  <conditionalFormatting sqref="BM201:XFD208">
    <cfRule type="cellIs" dxfId="87" priority="100" operator="equal">
      <formula>1</formula>
    </cfRule>
  </conditionalFormatting>
  <conditionalFormatting sqref="Y225:AF226">
    <cfRule type="cellIs" dxfId="86" priority="99" operator="equal">
      <formula>1</formula>
    </cfRule>
  </conditionalFormatting>
  <conditionalFormatting sqref="B219:H226">
    <cfRule type="cellIs" dxfId="85" priority="92" operator="equal">
      <formula>1</formula>
    </cfRule>
  </conditionalFormatting>
  <conditionalFormatting sqref="Q219:R226 W219:X226">
    <cfRule type="cellIs" dxfId="84" priority="91" operator="equal">
      <formula>1</formula>
    </cfRule>
  </conditionalFormatting>
  <conditionalFormatting sqref="S219:V226">
    <cfRule type="cellIs" dxfId="83" priority="90" operator="equal">
      <formula>1</formula>
    </cfRule>
  </conditionalFormatting>
  <conditionalFormatting sqref="Q235:R235 Y234:AF234 X228:X234 Q228:Q234 W235:AF235">
    <cfRule type="cellIs" dxfId="82" priority="88" operator="equal">
      <formula>1</formula>
    </cfRule>
  </conditionalFormatting>
  <conditionalFormatting sqref="R229:R234 W229:W234 R228:W228">
    <cfRule type="cellIs" dxfId="81" priority="87" operator="equal">
      <formula>1</formula>
    </cfRule>
  </conditionalFormatting>
  <conditionalFormatting sqref="A228:H235">
    <cfRule type="cellIs" dxfId="80" priority="86" operator="equal">
      <formula>1</formula>
    </cfRule>
  </conditionalFormatting>
  <conditionalFormatting sqref="S229:V235">
    <cfRule type="cellIs" dxfId="79" priority="85" operator="equal">
      <formula>1</formula>
    </cfRule>
  </conditionalFormatting>
  <conditionalFormatting sqref="Q244:R244 Y243:AF243 X237:X243 Q237:Q243 W244:AF244">
    <cfRule type="cellIs" dxfId="78" priority="84" operator="equal">
      <formula>1</formula>
    </cfRule>
  </conditionalFormatting>
  <conditionalFormatting sqref="R238:R243 W243 R237:W237">
    <cfRule type="cellIs" dxfId="77" priority="83" operator="equal">
      <formula>1</formula>
    </cfRule>
  </conditionalFormatting>
  <conditionalFormatting sqref="A237:H244">
    <cfRule type="cellIs" dxfId="76" priority="82" operator="equal">
      <formula>1</formula>
    </cfRule>
  </conditionalFormatting>
  <conditionalFormatting sqref="S243:V244 S238:W242">
    <cfRule type="cellIs" dxfId="75" priority="81" operator="equal">
      <formula>1</formula>
    </cfRule>
  </conditionalFormatting>
  <conditionalFormatting sqref="A253:B253 I252:P252 H246:H252 A246:A252 G253:P253">
    <cfRule type="cellIs" dxfId="74" priority="80" operator="equal">
      <formula>1</formula>
    </cfRule>
  </conditionalFormatting>
  <conditionalFormatting sqref="B247:B252 G247:G252 B246:G246">
    <cfRule type="cellIs" dxfId="73" priority="79" operator="equal">
      <formula>1</formula>
    </cfRule>
  </conditionalFormatting>
  <conditionalFormatting sqref="C247:F253">
    <cfRule type="cellIs" dxfId="72" priority="78" operator="equal">
      <formula>1</formula>
    </cfRule>
  </conditionalFormatting>
  <conditionalFormatting sqref="X246:X248 Q246:Q248 Y252:AF253">
    <cfRule type="cellIs" dxfId="71" priority="77" operator="equal">
      <formula>1</formula>
    </cfRule>
  </conditionalFormatting>
  <conditionalFormatting sqref="R246:W248">
    <cfRule type="cellIs" dxfId="70" priority="74" operator="equal">
      <formula>1</formula>
    </cfRule>
  </conditionalFormatting>
  <conditionalFormatting sqref="R246:R248 W246:W248">
    <cfRule type="cellIs" dxfId="69" priority="73" operator="equal">
      <formula>1</formula>
    </cfRule>
  </conditionalFormatting>
  <conditionalFormatting sqref="S246:V248">
    <cfRule type="cellIs" dxfId="68" priority="72" operator="equal">
      <formula>1</formula>
    </cfRule>
  </conditionalFormatting>
  <conditionalFormatting sqref="Q249:X253">
    <cfRule type="cellIs" dxfId="67" priority="71" operator="equal">
      <formula>1</formula>
    </cfRule>
  </conditionalFormatting>
  <conditionalFormatting sqref="BO3:BV10">
    <cfRule type="cellIs" dxfId="66" priority="70" operator="equal">
      <formula>1</formula>
    </cfRule>
  </conditionalFormatting>
  <conditionalFormatting sqref="CF3:CF10">
    <cfRule type="cellIs" dxfId="65" priority="67" operator="equal">
      <formula>1</formula>
    </cfRule>
  </conditionalFormatting>
  <conditionalFormatting sqref="CE3:CE10 CK3:CL10">
    <cfRule type="cellIs" dxfId="64" priority="69" operator="equal">
      <formula>1</formula>
    </cfRule>
  </conditionalFormatting>
  <conditionalFormatting sqref="CG3:CJ10">
    <cfRule type="cellIs" dxfId="63" priority="68" operator="equal">
      <formula>1</formula>
    </cfRule>
  </conditionalFormatting>
  <conditionalFormatting sqref="BW15 BW19:CD19">
    <cfRule type="cellIs" dxfId="62" priority="66" operator="equal">
      <formula>1</formula>
    </cfRule>
  </conditionalFormatting>
  <conditionalFormatting sqref="BO12:BV19">
    <cfRule type="cellIs" dxfId="61" priority="65" operator="equal">
      <formula>1</formula>
    </cfRule>
  </conditionalFormatting>
  <conditionalFormatting sqref="CF12:CF19">
    <cfRule type="cellIs" dxfId="60" priority="62" operator="equal">
      <formula>1</formula>
    </cfRule>
  </conditionalFormatting>
  <conditionalFormatting sqref="CE12:CE19 CK12:CL19">
    <cfRule type="cellIs" dxfId="59" priority="64" operator="equal">
      <formula>1</formula>
    </cfRule>
  </conditionalFormatting>
  <conditionalFormatting sqref="CG12:CJ19">
    <cfRule type="cellIs" dxfId="58" priority="63" operator="equal">
      <formula>1</formula>
    </cfRule>
  </conditionalFormatting>
  <conditionalFormatting sqref="BW24 BW28:CD28">
    <cfRule type="cellIs" dxfId="57" priority="61" operator="equal">
      <formula>1</formula>
    </cfRule>
  </conditionalFormatting>
  <conditionalFormatting sqref="BO21:BV28">
    <cfRule type="cellIs" dxfId="56" priority="60" operator="equal">
      <formula>1</formula>
    </cfRule>
  </conditionalFormatting>
  <conditionalFormatting sqref="CF21:CF28">
    <cfRule type="cellIs" dxfId="55" priority="57" operator="equal">
      <formula>1</formula>
    </cfRule>
  </conditionalFormatting>
  <conditionalFormatting sqref="CE21:CE28 CK21:CL28">
    <cfRule type="cellIs" dxfId="54" priority="59" operator="equal">
      <formula>1</formula>
    </cfRule>
  </conditionalFormatting>
  <conditionalFormatting sqref="CG21:CJ28">
    <cfRule type="cellIs" dxfId="53" priority="58" operator="equal">
      <formula>1</formula>
    </cfRule>
  </conditionalFormatting>
  <conditionalFormatting sqref="BP30:BP37">
    <cfRule type="cellIs" dxfId="52" priority="54" operator="equal">
      <formula>1</formula>
    </cfRule>
  </conditionalFormatting>
  <conditionalFormatting sqref="BO30:BO37 BU30:BV37">
    <cfRule type="cellIs" dxfId="51" priority="56" operator="equal">
      <formula>1</formula>
    </cfRule>
  </conditionalFormatting>
  <conditionalFormatting sqref="BQ30:BT37">
    <cfRule type="cellIs" dxfId="50" priority="55" operator="equal">
      <formula>1</formula>
    </cfRule>
  </conditionalFormatting>
  <conditionalFormatting sqref="CM33 CE30:CL37 CM37:CT37">
    <cfRule type="cellIs" dxfId="49" priority="53" operator="equal">
      <formula>1</formula>
    </cfRule>
  </conditionalFormatting>
  <conditionalFormatting sqref="BR46:CD46 BO39:BQ46 BR39:BV45">
    <cfRule type="cellIs" dxfId="48" priority="52" operator="equal">
      <formula>1</formula>
    </cfRule>
  </conditionalFormatting>
  <conditionalFormatting sqref="CH46:CT46 CE39:CG46 CH39:CL45">
    <cfRule type="cellIs" dxfId="47" priority="51" operator="equal">
      <formula>1</formula>
    </cfRule>
  </conditionalFormatting>
  <conditionalFormatting sqref="BO48:BV55">
    <cfRule type="cellIs" dxfId="46" priority="50" operator="equal">
      <formula>1</formula>
    </cfRule>
  </conditionalFormatting>
  <conditionalFormatting sqref="CH55:CT55 CE48:CG55 CG48:CL54">
    <cfRule type="cellIs" dxfId="45" priority="49" operator="equal">
      <formula>1</formula>
    </cfRule>
  </conditionalFormatting>
  <conditionalFormatting sqref="BO57:BV64">
    <cfRule type="cellIs" dxfId="44" priority="48" operator="equal">
      <formula>1</formula>
    </cfRule>
  </conditionalFormatting>
  <conditionalFormatting sqref="CM60 CE57:CL64 CM64:CT64">
    <cfRule type="cellIs" dxfId="43" priority="47" operator="equal">
      <formula>1</formula>
    </cfRule>
  </conditionalFormatting>
  <conditionalFormatting sqref="BO66:BV73">
    <cfRule type="cellIs" dxfId="42" priority="46" operator="equal">
      <formula>1</formula>
    </cfRule>
  </conditionalFormatting>
  <conditionalFormatting sqref="CM69 CM73:CT73">
    <cfRule type="cellIs" dxfId="41" priority="45" operator="equal">
      <formula>1</formula>
    </cfRule>
  </conditionalFormatting>
  <conditionalFormatting sqref="CE66:CL73">
    <cfRule type="cellIs" dxfId="40" priority="44" operator="equal">
      <formula>1</formula>
    </cfRule>
  </conditionalFormatting>
  <conditionalFormatting sqref="BO75:BV82">
    <cfRule type="cellIs" dxfId="39" priority="43" operator="equal">
      <formula>1</formula>
    </cfRule>
  </conditionalFormatting>
  <conditionalFormatting sqref="CM78 CM82:CT82">
    <cfRule type="cellIs" dxfId="38" priority="42" operator="equal">
      <formula>1</formula>
    </cfRule>
  </conditionalFormatting>
  <conditionalFormatting sqref="CE75:CL82">
    <cfRule type="cellIs" dxfId="37" priority="41" operator="equal">
      <formula>1</formula>
    </cfRule>
  </conditionalFormatting>
  <conditionalFormatting sqref="BO84:BO91 BW90:CD91">
    <cfRule type="cellIs" dxfId="36" priority="40" operator="equal">
      <formula>1</formula>
    </cfRule>
  </conditionalFormatting>
  <conditionalFormatting sqref="BP84:BV91">
    <cfRule type="cellIs" dxfId="35" priority="39" operator="equal">
      <formula>1</formula>
    </cfRule>
  </conditionalFormatting>
  <conditionalFormatting sqref="CE84:CL91">
    <cfRule type="cellIs" dxfId="34" priority="38" operator="equal">
      <formula>1</formula>
    </cfRule>
  </conditionalFormatting>
  <conditionalFormatting sqref="BW96 BW100:CD100 BO93:BV100">
    <cfRule type="cellIs" dxfId="33" priority="37" operator="equal">
      <formula>1</formula>
    </cfRule>
  </conditionalFormatting>
  <conditionalFormatting sqref="CM96 CM100:CT100 CE93:CL100">
    <cfRule type="cellIs" dxfId="32" priority="36" operator="equal">
      <formula>1</formula>
    </cfRule>
  </conditionalFormatting>
  <conditionalFormatting sqref="BO102:BV109">
    <cfRule type="cellIs" dxfId="31" priority="35" operator="equal">
      <formula>1</formula>
    </cfRule>
  </conditionalFormatting>
  <conditionalFormatting sqref="CM105 CM109:CT109">
    <cfRule type="cellIs" dxfId="30" priority="34" operator="equal">
      <formula>1</formula>
    </cfRule>
  </conditionalFormatting>
  <conditionalFormatting sqref="CE102:CL109">
    <cfRule type="cellIs" dxfId="29" priority="33" operator="equal">
      <formula>1</formula>
    </cfRule>
  </conditionalFormatting>
  <conditionalFormatting sqref="BW114 BW118:CD118 BO111:BV118">
    <cfRule type="cellIs" dxfId="28" priority="32" operator="equal">
      <formula>1</formula>
    </cfRule>
  </conditionalFormatting>
  <conditionalFormatting sqref="CM114 CM118:CT118">
    <cfRule type="cellIs" dxfId="27" priority="31" operator="equal">
      <formula>1</formula>
    </cfRule>
  </conditionalFormatting>
  <conditionalFormatting sqref="CE111:CL118">
    <cfRule type="cellIs" dxfId="26" priority="30" operator="equal">
      <formula>1</formula>
    </cfRule>
  </conditionalFormatting>
  <conditionalFormatting sqref="BO120">
    <cfRule type="cellIs" dxfId="25" priority="29" operator="equal">
      <formula>1</formula>
    </cfRule>
  </conditionalFormatting>
  <conditionalFormatting sqref="H255:H257 I261:P262 A255:G262">
    <cfRule type="cellIs" dxfId="24" priority="28" operator="equal">
      <formula>1</formula>
    </cfRule>
  </conditionalFormatting>
  <conditionalFormatting sqref="H258:H262">
    <cfRule type="cellIs" dxfId="23" priority="24" operator="equal">
      <formula>1</formula>
    </cfRule>
  </conditionalFormatting>
  <conditionalFormatting sqref="U3:X10">
    <cfRule type="cellIs" dxfId="22" priority="23" operator="equal">
      <formula>1</formula>
    </cfRule>
  </conditionalFormatting>
  <conditionalFormatting sqref="CL174:CT177 CL178:CL179 CE180:CT181">
    <cfRule type="cellIs" dxfId="21" priority="22" operator="equal">
      <formula>1</formula>
    </cfRule>
  </conditionalFormatting>
  <conditionalFormatting sqref="BW159 BO163:CD163 BO156:BO162 BU156:BV162">
    <cfRule type="cellIs" dxfId="20" priority="21" operator="equal">
      <formula>1</formula>
    </cfRule>
  </conditionalFormatting>
  <conditionalFormatting sqref="CM159 CM163:CT163 CE162:CL163 CE156:CE161 CK156:CL161">
    <cfRule type="cellIs" dxfId="19" priority="20" operator="equal">
      <formula>1</formula>
    </cfRule>
  </conditionalFormatting>
  <conditionalFormatting sqref="BO165:BO170 BU165:BV170 BO171:BV172">
    <cfRule type="cellIs" dxfId="18" priority="19" operator="equal">
      <formula>1</formula>
    </cfRule>
  </conditionalFormatting>
  <conditionalFormatting sqref="CM168 CM172:CT172">
    <cfRule type="cellIs" dxfId="17" priority="18" operator="equal">
      <formula>1</formula>
    </cfRule>
  </conditionalFormatting>
  <conditionalFormatting sqref="CE172:CL172 CL165:CL168 CK169:CL171">
    <cfRule type="cellIs" dxfId="16" priority="17" operator="equal">
      <formula>1</formula>
    </cfRule>
  </conditionalFormatting>
  <conditionalFormatting sqref="BW177 BW181:CD181 BO174:BV181">
    <cfRule type="cellIs" dxfId="15" priority="16" operator="equal">
      <formula>1</formula>
    </cfRule>
  </conditionalFormatting>
  <conditionalFormatting sqref="CM177 CM181:CT181">
    <cfRule type="cellIs" dxfId="14" priority="15" operator="equal">
      <formula>1</formula>
    </cfRule>
  </conditionalFormatting>
  <conditionalFormatting sqref="CL174:CL179 CE180:CL181">
    <cfRule type="cellIs" dxfId="13" priority="14" operator="equal">
      <formula>1</formula>
    </cfRule>
  </conditionalFormatting>
  <conditionalFormatting sqref="CE174:CK174 CE177:CK179 CF175:CF176">
    <cfRule type="cellIs" dxfId="12" priority="13" operator="equal">
      <formula>1</formula>
    </cfRule>
  </conditionalFormatting>
  <conditionalFormatting sqref="CE175:CK176">
    <cfRule type="cellIs" dxfId="11" priority="12" operator="equal">
      <formula>1</formula>
    </cfRule>
  </conditionalFormatting>
  <conditionalFormatting sqref="CE174:CK179">
    <cfRule type="cellIs" dxfId="10" priority="11" operator="equal">
      <formula>1</formula>
    </cfRule>
  </conditionalFormatting>
  <conditionalFormatting sqref="CE165:CK165 CE168:CK168 CE169:CJ171">
    <cfRule type="cellIs" dxfId="9" priority="10" operator="equal">
      <formula>1</formula>
    </cfRule>
  </conditionalFormatting>
  <conditionalFormatting sqref="CE166:CK167">
    <cfRule type="cellIs" dxfId="8" priority="9" operator="equal">
      <formula>1</formula>
    </cfRule>
  </conditionalFormatting>
  <conditionalFormatting sqref="CE165:CK168 CE169:CJ171">
    <cfRule type="cellIs" dxfId="7" priority="8" operator="equal">
      <formula>1</formula>
    </cfRule>
  </conditionalFormatting>
  <conditionalFormatting sqref="BT165:BT170 BP165:BQ170 BR166:BR169">
    <cfRule type="cellIs" dxfId="5" priority="7" operator="equal">
      <formula>1</formula>
    </cfRule>
  </conditionalFormatting>
  <conditionalFormatting sqref="BR165:BS165 BR170:BS170 BS166:BS169 BS171">
    <cfRule type="cellIs" dxfId="6" priority="6" operator="equal">
      <formula>1</formula>
    </cfRule>
  </conditionalFormatting>
  <conditionalFormatting sqref="BP156:BT162">
    <cfRule type="cellIs" dxfId="4" priority="5" operator="equal">
      <formula>1</formula>
    </cfRule>
  </conditionalFormatting>
  <conditionalFormatting sqref="CF156:CJ161">
    <cfRule type="cellIs" dxfId="3" priority="4" operator="equal">
      <formula>1</formula>
    </cfRule>
  </conditionalFormatting>
  <conditionalFormatting sqref="CF157:CJ158">
    <cfRule type="cellIs" dxfId="2" priority="3" operator="equal">
      <formula>1</formula>
    </cfRule>
  </conditionalFormatting>
  <conditionalFormatting sqref="CF156:CJ161">
    <cfRule type="cellIs" dxfId="1" priority="2" operator="equal">
      <formula>1</formula>
    </cfRule>
  </conditionalFormatting>
  <conditionalFormatting sqref="BO183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</cp:lastModifiedBy>
  <dcterms:created xsi:type="dcterms:W3CDTF">2024-11-30T17:48:28Z</dcterms:created>
  <dcterms:modified xsi:type="dcterms:W3CDTF">2026-02-15T12:05:33Z</dcterms:modified>
</cp:coreProperties>
</file>